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upported Merchants" sheetId="1" r:id="rId5"/>
  </sheets>
  <definedNames>
    <definedName hidden="1" localSheetId="0" name="_xlnm._FilterDatabase">'All Supported Merchants'!$A$1:$A$973</definedName>
  </definedNames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luemercury.com/cart/41629698031691:1?attributes%5Bclick_id%5D=example_click_id" TargetMode="External"/><Relationship Id="rId190" Type="http://schemas.openxmlformats.org/officeDocument/2006/relationships/hyperlink" Target="http://packagefreeshop.com" TargetMode="External"/><Relationship Id="rId42" Type="http://schemas.openxmlformats.org/officeDocument/2006/relationships/hyperlink" Target="https://www.bonescoffee.com/cart/25271186497:1?attributes%5Bclick_id%5D=example_click_id" TargetMode="External"/><Relationship Id="rId41" Type="http://schemas.openxmlformats.org/officeDocument/2006/relationships/hyperlink" Target="http://bonescoffee.com" TargetMode="External"/><Relationship Id="rId44" Type="http://schemas.openxmlformats.org/officeDocument/2006/relationships/hyperlink" Target="https://www.boxgreen.co/cart/46221035503660:1?attributes%5Bclick_id%5D=example_click_id" TargetMode="External"/><Relationship Id="rId194" Type="http://schemas.openxmlformats.org/officeDocument/2006/relationships/hyperlink" Target="http://partakefoods.com" TargetMode="External"/><Relationship Id="rId43" Type="http://schemas.openxmlformats.org/officeDocument/2006/relationships/hyperlink" Target="http://boxgreen.co" TargetMode="External"/><Relationship Id="rId193" Type="http://schemas.openxmlformats.org/officeDocument/2006/relationships/hyperlink" Target="https://www.parchmen.co/cart/47931586478257:1?attributes%5Bclick_id%5D=example_click_id" TargetMode="External"/><Relationship Id="rId46" Type="http://schemas.openxmlformats.org/officeDocument/2006/relationships/hyperlink" Target="https://www.brewlander.com/cart/51386875740481:1?attributes%5Bclick_id%5D=example_click_id" TargetMode="External"/><Relationship Id="rId192" Type="http://schemas.openxmlformats.org/officeDocument/2006/relationships/hyperlink" Target="http://parchmen.co" TargetMode="External"/><Relationship Id="rId45" Type="http://schemas.openxmlformats.org/officeDocument/2006/relationships/hyperlink" Target="http://brewlander.com" TargetMode="External"/><Relationship Id="rId191" Type="http://schemas.openxmlformats.org/officeDocument/2006/relationships/hyperlink" Target="https://packagefreeshop.com/cart/43868446261345:1?attributes%5Bclick_id%5D=example_click_id" TargetMode="External"/><Relationship Id="rId48" Type="http://schemas.openxmlformats.org/officeDocument/2006/relationships/hyperlink" Target="https://www.brooklinen.com/cart/42950127452250:1?attributes%5Bclick_id%5D=example_click_id" TargetMode="External"/><Relationship Id="rId187" Type="http://schemas.openxmlformats.org/officeDocument/2006/relationships/hyperlink" Target="https://nzxt.com/cart/40575815385160:1?attributes%5Bclick_id%5D=example_click_id" TargetMode="External"/><Relationship Id="rId47" Type="http://schemas.openxmlformats.org/officeDocument/2006/relationships/hyperlink" Target="http://brooklinen.com" TargetMode="External"/><Relationship Id="rId186" Type="http://schemas.openxmlformats.org/officeDocument/2006/relationships/hyperlink" Target="http://nzxt.com" TargetMode="External"/><Relationship Id="rId185" Type="http://schemas.openxmlformats.org/officeDocument/2006/relationships/hyperlink" Target="https://motherswork.com.sg/cart/41661023813690:1?attributes%5Bclick_id%5D=example_click_id" TargetMode="External"/><Relationship Id="rId49" Type="http://schemas.openxmlformats.org/officeDocument/2006/relationships/hyperlink" Target="http://byndartisan.com" TargetMode="External"/><Relationship Id="rId184" Type="http://schemas.openxmlformats.org/officeDocument/2006/relationships/hyperlink" Target="http://motherswork.com.sg" TargetMode="External"/><Relationship Id="rId189" Type="http://schemas.openxmlformats.org/officeDocument/2006/relationships/hyperlink" Target="https://online.citysuper.com.hk/cart/40900339204139:1?attributes%5Bclick_id%5D=example_click_id" TargetMode="External"/><Relationship Id="rId188" Type="http://schemas.openxmlformats.org/officeDocument/2006/relationships/hyperlink" Target="http://online.citysuper.com.hk" TargetMode="External"/><Relationship Id="rId31" Type="http://schemas.openxmlformats.org/officeDocument/2006/relationships/hyperlink" Target="http://beautyofjoseon.com" TargetMode="External"/><Relationship Id="rId30" Type="http://schemas.openxmlformats.org/officeDocument/2006/relationships/hyperlink" Target="https://www.beautybakerie.com/cart/19863507905:1?attributes%5Bclick_id%5D=example_click_id" TargetMode="External"/><Relationship Id="rId33" Type="http://schemas.openxmlformats.org/officeDocument/2006/relationships/hyperlink" Target="http://bettrcoffee.com" TargetMode="External"/><Relationship Id="rId183" Type="http://schemas.openxmlformats.org/officeDocument/2006/relationships/hyperlink" Target="https://www.mossery.co/cart/48900544102553:1?attributes%5Bclick_id%5D=example_click_id" TargetMode="External"/><Relationship Id="rId32" Type="http://schemas.openxmlformats.org/officeDocument/2006/relationships/hyperlink" Target="https://beautyofjoseon.com/cart/44051757727909:1?attributes%5Bclick_id%5D=example_click_id" TargetMode="External"/><Relationship Id="rId182" Type="http://schemas.openxmlformats.org/officeDocument/2006/relationships/hyperlink" Target="http://mossery.co" TargetMode="External"/><Relationship Id="rId35" Type="http://schemas.openxmlformats.org/officeDocument/2006/relationships/hyperlink" Target="http://birdsofparadise.sg" TargetMode="External"/><Relationship Id="rId181" Type="http://schemas.openxmlformats.org/officeDocument/2006/relationships/hyperlink" Target="https://misen.com/cart/62697806299217:1?attributes%5Bclick_id%5D=example_click_id" TargetMode="External"/><Relationship Id="rId34" Type="http://schemas.openxmlformats.org/officeDocument/2006/relationships/hyperlink" Target="https://bettr.coffee/cart/42713423675505:1?attributes%5Bclick_id%5D=example_click_id" TargetMode="External"/><Relationship Id="rId180" Type="http://schemas.openxmlformats.org/officeDocument/2006/relationships/hyperlink" Target="http://misen.com" TargetMode="External"/><Relationship Id="rId37" Type="http://schemas.openxmlformats.org/officeDocument/2006/relationships/hyperlink" Target="http://blendstation.com.mx" TargetMode="External"/><Relationship Id="rId176" Type="http://schemas.openxmlformats.org/officeDocument/2006/relationships/hyperlink" Target="http://maxbone.com" TargetMode="External"/><Relationship Id="rId297" Type="http://schemas.openxmlformats.org/officeDocument/2006/relationships/hyperlink" Target="http://worldpolo.sg" TargetMode="External"/><Relationship Id="rId36" Type="http://schemas.openxmlformats.org/officeDocument/2006/relationships/hyperlink" Target="https://birdsofparadise.sg/cart/45500127805484:1?attributes%5Bclick_id%5D=example_click_id" TargetMode="External"/><Relationship Id="rId175" Type="http://schemas.openxmlformats.org/officeDocument/2006/relationships/hyperlink" Target="https://mavigadget.com/cart/46126250328124:1?attributes%5Bclick_id%5D=example_click_id" TargetMode="External"/><Relationship Id="rId296" Type="http://schemas.openxmlformats.org/officeDocument/2006/relationships/hyperlink" Target="https://windflowerflorist.com/cart/54393308676320:1?attributes%5Bclick_id%5D=example_click_id" TargetMode="External"/><Relationship Id="rId39" Type="http://schemas.openxmlformats.org/officeDocument/2006/relationships/hyperlink" Target="http://bluemercury.com" TargetMode="External"/><Relationship Id="rId174" Type="http://schemas.openxmlformats.org/officeDocument/2006/relationships/hyperlink" Target="http://mavigadget.com" TargetMode="External"/><Relationship Id="rId295" Type="http://schemas.openxmlformats.org/officeDocument/2006/relationships/hyperlink" Target="http://windflowerflorist.com" TargetMode="External"/><Relationship Id="rId38" Type="http://schemas.openxmlformats.org/officeDocument/2006/relationships/hyperlink" Target="https://blendstation.com.mx/cart/47607777984690:1?attributes%5Bclick_id%5D=example_click_id" TargetMode="External"/><Relationship Id="rId173" Type="http://schemas.openxmlformats.org/officeDocument/2006/relationships/hyperlink" Target="https://materialkitchen.com/cart/42051763535934:1?attributes%5Bclick_id%5D=example_click_id" TargetMode="External"/><Relationship Id="rId294" Type="http://schemas.openxmlformats.org/officeDocument/2006/relationships/hyperlink" Target="https://wildone.com/cart/45163409539267:1?attributes%5Bclick_id%5D=example_click_id" TargetMode="External"/><Relationship Id="rId179" Type="http://schemas.openxmlformats.org/officeDocument/2006/relationships/hyperlink" Target="https://metro.com.sg/cart/52255697371457:1?attributes%5Bclick_id%5D=example_click_id" TargetMode="External"/><Relationship Id="rId178" Type="http://schemas.openxmlformats.org/officeDocument/2006/relationships/hyperlink" Target="http://metro.com.sg" TargetMode="External"/><Relationship Id="rId299" Type="http://schemas.openxmlformats.org/officeDocument/2006/relationships/hyperlink" Target="http://zenxin.com.sg" TargetMode="External"/><Relationship Id="rId177" Type="http://schemas.openxmlformats.org/officeDocument/2006/relationships/hyperlink" Target="https://www.maxbone.com/cart/54020381901164:1?attributes%5Bclick_id%5D=example_click_id" TargetMode="External"/><Relationship Id="rId298" Type="http://schemas.openxmlformats.org/officeDocument/2006/relationships/hyperlink" Target="https://worldpolo.sg/cart/46944435503330:1?attributes%5Bclick_id%5D=example_click_id" TargetMode="External"/><Relationship Id="rId20" Type="http://schemas.openxmlformats.org/officeDocument/2006/relationships/hyperlink" Target="https://balamrush.com/cart/52621052051743:1?attributes%5Bclick_id%5D=example_click_id" TargetMode="External"/><Relationship Id="rId22" Type="http://schemas.openxmlformats.org/officeDocument/2006/relationships/hyperlink" Target="https://baronfig.com/cart/45798527860819:1?attributes%5Bclick_id%5D=example_click_id" TargetMode="External"/><Relationship Id="rId21" Type="http://schemas.openxmlformats.org/officeDocument/2006/relationships/hyperlink" Target="http://baronfig.com" TargetMode="External"/><Relationship Id="rId24" Type="http://schemas.openxmlformats.org/officeDocument/2006/relationships/hyperlink" Target="https://www.baseus.com/cart/50526114644045:1?attributes%5Bclick_id%5D=example_click_id" TargetMode="External"/><Relationship Id="rId23" Type="http://schemas.openxmlformats.org/officeDocument/2006/relationships/hyperlink" Target="http://baseus.com" TargetMode="External"/><Relationship Id="rId26" Type="http://schemas.openxmlformats.org/officeDocument/2006/relationships/hyperlink" Target="https://bashfashion.co.uk/cart/56753479188854:1?attributes%5Bclick_id%5D=example_click_id" TargetMode="External"/><Relationship Id="rId25" Type="http://schemas.openxmlformats.org/officeDocument/2006/relationships/hyperlink" Target="http://bashfashion.co.uk" TargetMode="External"/><Relationship Id="rId28" Type="http://schemas.openxmlformats.org/officeDocument/2006/relationships/hyperlink" Target="https://batik.com.my/cart/48448371327197:1?attributes%5Bclick_id%5D=example_click_id" TargetMode="External"/><Relationship Id="rId27" Type="http://schemas.openxmlformats.org/officeDocument/2006/relationships/hyperlink" Target="http://batik.com.my" TargetMode="External"/><Relationship Id="rId29" Type="http://schemas.openxmlformats.org/officeDocument/2006/relationships/hyperlink" Target="http://beautybakerie.com" TargetMode="External"/><Relationship Id="rId11" Type="http://schemas.openxmlformats.org/officeDocument/2006/relationships/hyperlink" Target="http://atoleajewelry.com" TargetMode="External"/><Relationship Id="rId10" Type="http://schemas.openxmlformats.org/officeDocument/2006/relationships/hyperlink" Target="https://www.arzopa.com/cart/48083756581027:1?attributes%5Bclick_id%5D=example_click_id" TargetMode="External"/><Relationship Id="rId13" Type="http://schemas.openxmlformats.org/officeDocument/2006/relationships/hyperlink" Target="http://atomicbooks.com" TargetMode="External"/><Relationship Id="rId12" Type="http://schemas.openxmlformats.org/officeDocument/2006/relationships/hyperlink" Target="https://atoleajewelry.com/cart/58828498665804:1?attributes%5Bclick_id%5D=example_click_id" TargetMode="External"/><Relationship Id="rId15" Type="http://schemas.openxmlformats.org/officeDocument/2006/relationships/hyperlink" Target="http://auragaminggear.com" TargetMode="External"/><Relationship Id="rId198" Type="http://schemas.openxmlformats.org/officeDocument/2006/relationships/hyperlink" Target="http://pazzion.com" TargetMode="External"/><Relationship Id="rId14" Type="http://schemas.openxmlformats.org/officeDocument/2006/relationships/hyperlink" Target="https://atomicbooks.com/cart/50481500848384:1?attributes%5Bclick_id%5D=example_click_id" TargetMode="External"/><Relationship Id="rId197" Type="http://schemas.openxmlformats.org/officeDocument/2006/relationships/hyperlink" Target="https://www.patagonia.com.au/cart/40115988365384:1?attributes%5Bclick_id%5D=example_click_id" TargetMode="External"/><Relationship Id="rId17" Type="http://schemas.openxmlformats.org/officeDocument/2006/relationships/hyperlink" Target="http://badasscoffee.com" TargetMode="External"/><Relationship Id="rId196" Type="http://schemas.openxmlformats.org/officeDocument/2006/relationships/hyperlink" Target="http://patagonia.com.au" TargetMode="External"/><Relationship Id="rId16" Type="http://schemas.openxmlformats.org/officeDocument/2006/relationships/hyperlink" Target="https://auragaminggear.com/cart/54497381351715:1?attributes%5Bclick_id%5D=example_click_id" TargetMode="External"/><Relationship Id="rId195" Type="http://schemas.openxmlformats.org/officeDocument/2006/relationships/hyperlink" Target="https://partakefoods.com/cart/43267581870178:1?attributes%5Bclick_id%5D=example_click_id" TargetMode="External"/><Relationship Id="rId19" Type="http://schemas.openxmlformats.org/officeDocument/2006/relationships/hyperlink" Target="http://balamrush.com" TargetMode="External"/><Relationship Id="rId18" Type="http://schemas.openxmlformats.org/officeDocument/2006/relationships/hyperlink" Target="https://badasscoffee.com/cart/52176877257073:1?attributes%5Bclick_id%5D=example_click_id" TargetMode="External"/><Relationship Id="rId199" Type="http://schemas.openxmlformats.org/officeDocument/2006/relationships/hyperlink" Target="https://www.pazzion.com/cart/48571082342643:1?attributes%5Bclick_id%5D=example_click_id" TargetMode="External"/><Relationship Id="rId84" Type="http://schemas.openxmlformats.org/officeDocument/2006/relationships/hyperlink" Target="https://evryjewels.com/cart/42936174313549:1?attributes%5Bclick_id%5D=example_click_id" TargetMode="External"/><Relationship Id="rId83" Type="http://schemas.openxmlformats.org/officeDocument/2006/relationships/hyperlink" Target="http://evryjewels.com" TargetMode="External"/><Relationship Id="rId86" Type="http://schemas.openxmlformats.org/officeDocument/2006/relationships/hyperlink" Target="https://exoticsnacks.com/cart/49276049621211:1?attributes%5Bclick_id%5D=example_click_id" TargetMode="External"/><Relationship Id="rId85" Type="http://schemas.openxmlformats.org/officeDocument/2006/relationships/hyperlink" Target="http://exoticsnacks.com" TargetMode="External"/><Relationship Id="rId88" Type="http://schemas.openxmlformats.org/officeDocument/2006/relationships/hyperlink" Target="https://www.explodingkittens.com/cart/45020937715851:1?attributes%5Bclick_id%5D=example_click_id" TargetMode="External"/><Relationship Id="rId150" Type="http://schemas.openxmlformats.org/officeDocument/2006/relationships/hyperlink" Target="http://kohepets.com.sg" TargetMode="External"/><Relationship Id="rId271" Type="http://schemas.openxmlformats.org/officeDocument/2006/relationships/hyperlink" Target="http://thepihut.com" TargetMode="External"/><Relationship Id="rId87" Type="http://schemas.openxmlformats.org/officeDocument/2006/relationships/hyperlink" Target="http://explodingkittens.com" TargetMode="External"/><Relationship Id="rId270" Type="http://schemas.openxmlformats.org/officeDocument/2006/relationships/hyperlink" Target="https://www.thegoldenduck.co/cart/45089923137708:1?attributes%5Bclick_id%5D=example_click_id" TargetMode="External"/><Relationship Id="rId89" Type="http://schemas.openxmlformats.org/officeDocument/2006/relationships/hyperlink" Target="http://fashionnova.com" TargetMode="External"/><Relationship Id="rId80" Type="http://schemas.openxmlformats.org/officeDocument/2006/relationships/hyperlink" Target="https://ergotune.com/cart/51986214289774:1?attributes%5Bclick_id%5D=example_click_id" TargetMode="External"/><Relationship Id="rId82" Type="http://schemas.openxmlformats.org/officeDocument/2006/relationships/hyperlink" Target="https://www.everlane.com/cart/45720483266646:1?attributes%5Bclick_id%5D=example_click_id" TargetMode="External"/><Relationship Id="rId81" Type="http://schemas.openxmlformats.org/officeDocument/2006/relationships/hyperlink" Target="http://everlane.com" TargetMode="External"/><Relationship Id="rId1" Type="http://schemas.openxmlformats.org/officeDocument/2006/relationships/hyperlink" Target="http://abchome.com" TargetMode="External"/><Relationship Id="rId2" Type="http://schemas.openxmlformats.org/officeDocument/2006/relationships/hyperlink" Target="https://abchome.com/cart/47449632309386:1?attributes%5Bclick_id%5D=example_click_id" TargetMode="External"/><Relationship Id="rId3" Type="http://schemas.openxmlformats.org/officeDocument/2006/relationships/hyperlink" Target="http://acteck.com" TargetMode="External"/><Relationship Id="rId149" Type="http://schemas.openxmlformats.org/officeDocument/2006/relationships/hyperlink" Target="https://kinokuniya.com.sg/cart/48658523619563:1?attributes%5Bclick_id%5D=example_click_id" TargetMode="External"/><Relationship Id="rId4" Type="http://schemas.openxmlformats.org/officeDocument/2006/relationships/hyperlink" Target="https://acteck.com/cart/51356269281595:1?attributes%5Bclick_id%5D=example_click_id" TargetMode="External"/><Relationship Id="rId148" Type="http://schemas.openxmlformats.org/officeDocument/2006/relationships/hyperlink" Target="http://kinokuniya.com.sg" TargetMode="External"/><Relationship Id="rId269" Type="http://schemas.openxmlformats.org/officeDocument/2006/relationships/hyperlink" Target="http://thegoldenduck.co" TargetMode="External"/><Relationship Id="rId9" Type="http://schemas.openxmlformats.org/officeDocument/2006/relationships/hyperlink" Target="http://arzopa.com" TargetMode="External"/><Relationship Id="rId143" Type="http://schemas.openxmlformats.org/officeDocument/2006/relationships/hyperlink" Target="https://judydoll.com/cart/49308028338453:1?attributes%5Bclick_id%5D=example_click_id" TargetMode="External"/><Relationship Id="rId264" Type="http://schemas.openxmlformats.org/officeDocument/2006/relationships/hyperlink" Target="https://www.tech-wizz.co.uk/cart/59274342367580:1?attributes%5Bclick_id%5D=example_click_id" TargetMode="External"/><Relationship Id="rId142" Type="http://schemas.openxmlformats.org/officeDocument/2006/relationships/hyperlink" Target="http://judydoll.com" TargetMode="External"/><Relationship Id="rId263" Type="http://schemas.openxmlformats.org/officeDocument/2006/relationships/hyperlink" Target="http://tech-wizz.co.uk" TargetMode="External"/><Relationship Id="rId141" Type="http://schemas.openxmlformats.org/officeDocument/2006/relationships/hyperlink" Target="https://journeyeast.com/cart/50280634024186:1?attributes%5Bclick_id%5D=example_click_id" TargetMode="External"/><Relationship Id="rId262" Type="http://schemas.openxmlformats.org/officeDocument/2006/relationships/hyperlink" Target="https://www.switchelectronics.co.uk/cart/58511535079807:1?attributes%5Bclick_id%5D=example_click_id" TargetMode="External"/><Relationship Id="rId140" Type="http://schemas.openxmlformats.org/officeDocument/2006/relationships/hyperlink" Target="http://journeyeast.com" TargetMode="External"/><Relationship Id="rId261" Type="http://schemas.openxmlformats.org/officeDocument/2006/relationships/hyperlink" Target="http://switchelectronics.co.uk" TargetMode="External"/><Relationship Id="rId5" Type="http://schemas.openxmlformats.org/officeDocument/2006/relationships/hyperlink" Target="http://alchemist.com.sg" TargetMode="External"/><Relationship Id="rId147" Type="http://schemas.openxmlformats.org/officeDocument/2006/relationships/hyperlink" Target="https://keychron.com/cart/44554000957529:1?attributes%5Bclick_id%5D=example_click_id" TargetMode="External"/><Relationship Id="rId268" Type="http://schemas.openxmlformats.org/officeDocument/2006/relationships/hyperlink" Target="https://thefishwives.com/cart/49640989720814:1?attributes%5Bclick_id%5D=example_click_id" TargetMode="External"/><Relationship Id="rId6" Type="http://schemas.openxmlformats.org/officeDocument/2006/relationships/hyperlink" Target="https://alchemist.global/cart/52638886363418:1?attributes%5Bclick_id%5D=example_click_id" TargetMode="External"/><Relationship Id="rId146" Type="http://schemas.openxmlformats.org/officeDocument/2006/relationships/hyperlink" Target="http://keychron.com" TargetMode="External"/><Relationship Id="rId267" Type="http://schemas.openxmlformats.org/officeDocument/2006/relationships/hyperlink" Target="http://thefishwives.com" TargetMode="External"/><Relationship Id="rId7" Type="http://schemas.openxmlformats.org/officeDocument/2006/relationships/hyperlink" Target="http://anker.com.sg" TargetMode="External"/><Relationship Id="rId145" Type="http://schemas.openxmlformats.org/officeDocument/2006/relationships/hyperlink" Target="https://www.kbeautymakeup.com/cart/51027169542311:1?attributes%5Bclick_id%5D=example_click_id" TargetMode="External"/><Relationship Id="rId266" Type="http://schemas.openxmlformats.org/officeDocument/2006/relationships/hyperlink" Target="https://www.techforless.com/cart/50542724153480:1?attributes%5Bclick_id%5D=example_click_id" TargetMode="External"/><Relationship Id="rId8" Type="http://schemas.openxmlformats.org/officeDocument/2006/relationships/hyperlink" Target="https://anker.com.sg/cart/52786047254813:1?attributes%5Bclick_id%5D=example_click_id" TargetMode="External"/><Relationship Id="rId144" Type="http://schemas.openxmlformats.org/officeDocument/2006/relationships/hyperlink" Target="http://kbeautymakeup.com" TargetMode="External"/><Relationship Id="rId265" Type="http://schemas.openxmlformats.org/officeDocument/2006/relationships/hyperlink" Target="http://techforless.com" TargetMode="External"/><Relationship Id="rId73" Type="http://schemas.openxmlformats.org/officeDocument/2006/relationships/hyperlink" Target="http://dutchcolony.sg" TargetMode="External"/><Relationship Id="rId72" Type="http://schemas.openxmlformats.org/officeDocument/2006/relationships/hyperlink" Target="https://www.dockcase.com/cart/51181256933688:1?attributes%5Bclick_id%5D=example_click_id" TargetMode="External"/><Relationship Id="rId75" Type="http://schemas.openxmlformats.org/officeDocument/2006/relationships/hyperlink" Target="http://eddieselectronicsandgadgets.com" TargetMode="External"/><Relationship Id="rId74" Type="http://schemas.openxmlformats.org/officeDocument/2006/relationships/hyperlink" Target="https://www.dutchcolony.sg/cart/48922956595353:1?attributes%5Bclick_id%5D=example_click_id" TargetMode="External"/><Relationship Id="rId77" Type="http://schemas.openxmlformats.org/officeDocument/2006/relationships/hyperlink" Target="http://epomaker.com" TargetMode="External"/><Relationship Id="rId260" Type="http://schemas.openxmlformats.org/officeDocument/2006/relationships/hyperlink" Target="https://eshop.supernature.com.sg/cart/52034775843136:1?attributes%5Bclick_id%5D=example_click_id" TargetMode="External"/><Relationship Id="rId76" Type="http://schemas.openxmlformats.org/officeDocument/2006/relationships/hyperlink" Target="https://eddieselectronicsandgadgets.com/cart/42605744750676:1?attributes%5Bclick_id%5D=example_click_id" TargetMode="External"/><Relationship Id="rId79" Type="http://schemas.openxmlformats.org/officeDocument/2006/relationships/hyperlink" Target="http://ergotune.com" TargetMode="External"/><Relationship Id="rId78" Type="http://schemas.openxmlformats.org/officeDocument/2006/relationships/hyperlink" Target="https://epomaker.com/cart/49273116262708:1?attributes%5Bclick_id%5D=example_click_id" TargetMode="External"/><Relationship Id="rId71" Type="http://schemas.openxmlformats.org/officeDocument/2006/relationships/hyperlink" Target="http://dockcase.com" TargetMode="External"/><Relationship Id="rId70" Type="http://schemas.openxmlformats.org/officeDocument/2006/relationships/hyperlink" Target="https://divinikey.com/cart/50536537391169:1?attributes%5Bclick_id%5D=example_click_id" TargetMode="External"/><Relationship Id="rId139" Type="http://schemas.openxmlformats.org/officeDocument/2006/relationships/hyperlink" Target="https://jenis.com/cart/43521362624718:1?attributes%5Bclick_id%5D=example_click_id" TargetMode="External"/><Relationship Id="rId138" Type="http://schemas.openxmlformats.org/officeDocument/2006/relationships/hyperlink" Target="http://jenis.com" TargetMode="External"/><Relationship Id="rId259" Type="http://schemas.openxmlformats.org/officeDocument/2006/relationships/hyperlink" Target="http://supernature.com.sg" TargetMode="External"/><Relationship Id="rId137" Type="http://schemas.openxmlformats.org/officeDocument/2006/relationships/hyperlink" Target="https://janicewong.online/cart/45224648147105:1?attributes%5Bclick_id%5D=example_click_id" TargetMode="External"/><Relationship Id="rId258" Type="http://schemas.openxmlformats.org/officeDocument/2006/relationships/hyperlink" Target="https://suburban.com.hk/cart/50524532474107:1?attributes%5Bclick_id%5D=example_click_id" TargetMode="External"/><Relationship Id="rId132" Type="http://schemas.openxmlformats.org/officeDocument/2006/relationships/hyperlink" Target="https://www.hypershop.com/cart/39725702709310:1?attributes%5Bclick_id%5D=example_click_id" TargetMode="External"/><Relationship Id="rId253" Type="http://schemas.openxmlformats.org/officeDocument/2006/relationships/hyperlink" Target="http://stationerypal.com" TargetMode="External"/><Relationship Id="rId131" Type="http://schemas.openxmlformats.org/officeDocument/2006/relationships/hyperlink" Target="http://hypershop.com" TargetMode="External"/><Relationship Id="rId252" Type="http://schemas.openxmlformats.org/officeDocument/2006/relationships/hyperlink" Target="https://spectrumstore.sg/cart/50275440034035:1?attributes%5Bclick_id%5D=example_click_id" TargetMode="External"/><Relationship Id="rId130" Type="http://schemas.openxmlformats.org/officeDocument/2006/relationships/hyperlink" Target="https://huggscoffee.com/cart/51429049860374:1?attributes%5Bclick_id%5D=example_click_id" TargetMode="External"/><Relationship Id="rId251" Type="http://schemas.openxmlformats.org/officeDocument/2006/relationships/hyperlink" Target="http://spectrumstore.sg" TargetMode="External"/><Relationship Id="rId250" Type="http://schemas.openxmlformats.org/officeDocument/2006/relationships/hyperlink" Target="https://sixeleven.xyz/cart/58914729361568:1?attributes%5Bclick_id%5D=example_click_id" TargetMode="External"/><Relationship Id="rId136" Type="http://schemas.openxmlformats.org/officeDocument/2006/relationships/hyperlink" Target="https://eatirvins.sg/cart/47790244331746:1?attributes%5Bclick_id%5D=example_click_id" TargetMode="External"/><Relationship Id="rId257" Type="http://schemas.openxmlformats.org/officeDocument/2006/relationships/hyperlink" Target="http://suburban.com.hk" TargetMode="External"/><Relationship Id="rId135" Type="http://schemas.openxmlformats.org/officeDocument/2006/relationships/hyperlink" Target="http://irvinsaltedegg.com" TargetMode="External"/><Relationship Id="rId256" Type="http://schemas.openxmlformats.org/officeDocument/2006/relationships/hyperlink" Target="https://store.fut-electronics.com/cart/67577340559469:1?attributes%5Bclick_id%5D=example_click_id" TargetMode="External"/><Relationship Id="rId134" Type="http://schemas.openxmlformats.org/officeDocument/2006/relationships/hyperlink" Target="https://intertech-hardware.com/cart/44913671733299:1?attributes%5Bclick_id%5D=example_click_id" TargetMode="External"/><Relationship Id="rId255" Type="http://schemas.openxmlformats.org/officeDocument/2006/relationships/hyperlink" Target="http://store.fut-electronics.com" TargetMode="External"/><Relationship Id="rId133" Type="http://schemas.openxmlformats.org/officeDocument/2006/relationships/hyperlink" Target="http://intertech-hardware.com" TargetMode="External"/><Relationship Id="rId254" Type="http://schemas.openxmlformats.org/officeDocument/2006/relationships/hyperlink" Target="https://stationerypal.com/cart/40038938247235:1?attributes%5Bclick_id%5D=example_click_id" TargetMode="External"/><Relationship Id="rId62" Type="http://schemas.openxmlformats.org/officeDocument/2006/relationships/hyperlink" Target="https://computerexchange.com/cart/48605095461019:1?attributes%5Bclick_id%5D=example_click_id" TargetMode="External"/><Relationship Id="rId61" Type="http://schemas.openxmlformats.org/officeDocument/2006/relationships/hyperlink" Target="http://computerexchange.com" TargetMode="External"/><Relationship Id="rId64" Type="http://schemas.openxmlformats.org/officeDocument/2006/relationships/hyperlink" Target="https://cubictech.com.au/cart/53918466703643:1?attributes%5Bclick_id%5D=example_click_id" TargetMode="External"/><Relationship Id="rId63" Type="http://schemas.openxmlformats.org/officeDocument/2006/relationships/hyperlink" Target="http://cubictech.com.au" TargetMode="External"/><Relationship Id="rId66" Type="http://schemas.openxmlformats.org/officeDocument/2006/relationships/hyperlink" Target="https://www.deathwishcoffee.com/cart/42380283346999:1?attributes%5Bclick_id%5D=example_click_id" TargetMode="External"/><Relationship Id="rId172" Type="http://schemas.openxmlformats.org/officeDocument/2006/relationships/hyperlink" Target="http://materialkitchen.com" TargetMode="External"/><Relationship Id="rId293" Type="http://schemas.openxmlformats.org/officeDocument/2006/relationships/hyperlink" Target="http://wildone.com" TargetMode="External"/><Relationship Id="rId65" Type="http://schemas.openxmlformats.org/officeDocument/2006/relationships/hyperlink" Target="http://deathwishcoffee.com" TargetMode="External"/><Relationship Id="rId171" Type="http://schemas.openxmlformats.org/officeDocument/2006/relationships/hyperlink" Target="https://magicspoon.com/cart/39401282994238:1?attributes%5Bclick_id%5D=example_click_id" TargetMode="External"/><Relationship Id="rId292" Type="http://schemas.openxmlformats.org/officeDocument/2006/relationships/hyperlink" Target="https://wakegamingpad.com/cart/46947546726749:1?attributes%5Bclick_id%5D=example_click_id" TargetMode="External"/><Relationship Id="rId68" Type="http://schemas.openxmlformats.org/officeDocument/2006/relationships/hyperlink" Target="https://www.digitmakers.ca/cart/67588566679782:1?attributes%5Bclick_id%5D=example_click_id" TargetMode="External"/><Relationship Id="rId170" Type="http://schemas.openxmlformats.org/officeDocument/2006/relationships/hyperlink" Target="http://magicspoon.com" TargetMode="External"/><Relationship Id="rId291" Type="http://schemas.openxmlformats.org/officeDocument/2006/relationships/hyperlink" Target="http://wakegamingpad.com" TargetMode="External"/><Relationship Id="rId67" Type="http://schemas.openxmlformats.org/officeDocument/2006/relationships/hyperlink" Target="http://digitmakers.ca" TargetMode="External"/><Relationship Id="rId290" Type="http://schemas.openxmlformats.org/officeDocument/2006/relationships/hyperlink" Target="https://uperfect.com/cart/41308987621448:1?attributes%5Bclick_id%5D=example_click_id" TargetMode="External"/><Relationship Id="rId60" Type="http://schemas.openxmlformats.org/officeDocument/2006/relationships/hyperlink" Target="https://commonmancoffeeroasters.com/cart/45609133211757:1?attributes%5Bclick_id%5D=example_click_id" TargetMode="External"/><Relationship Id="rId165" Type="http://schemas.openxmlformats.org/officeDocument/2006/relationships/hyperlink" Target="https://livezero.hk/cart/48205571457236:1?attributes%5Bclick_id%5D=example_click_id" TargetMode="External"/><Relationship Id="rId286" Type="http://schemas.openxmlformats.org/officeDocument/2006/relationships/hyperlink" Target="https://ugreen.com.sg/cart/51210551099639:1?attributes%5Bclick_id%5D=example_click_id" TargetMode="External"/><Relationship Id="rId69" Type="http://schemas.openxmlformats.org/officeDocument/2006/relationships/hyperlink" Target="http://divinikey.com" TargetMode="External"/><Relationship Id="rId164" Type="http://schemas.openxmlformats.org/officeDocument/2006/relationships/hyperlink" Target="http://livezero.hk" TargetMode="External"/><Relationship Id="rId285" Type="http://schemas.openxmlformats.org/officeDocument/2006/relationships/hyperlink" Target="http://ugreen.com.sg" TargetMode="External"/><Relationship Id="rId163" Type="http://schemas.openxmlformats.org/officeDocument/2006/relationships/hyperlink" Target="https://liquiddeath.com/cart/43239726448849:1?attributes%5Bclick_id%5D=example_click_id" TargetMode="External"/><Relationship Id="rId284" Type="http://schemas.openxmlformats.org/officeDocument/2006/relationships/hyperlink" Target="https://www.twelvesouth.com/cart/46441190424633:1?attributes%5Bclick_id%5D=example_click_id" TargetMode="External"/><Relationship Id="rId162" Type="http://schemas.openxmlformats.org/officeDocument/2006/relationships/hyperlink" Target="http://liquiddeath.com" TargetMode="External"/><Relationship Id="rId283" Type="http://schemas.openxmlformats.org/officeDocument/2006/relationships/hyperlink" Target="http://twelvesouth.com" TargetMode="External"/><Relationship Id="rId169" Type="http://schemas.openxmlformats.org/officeDocument/2006/relationships/hyperlink" Target="https://www.machines.com.my/cart/67587936583791:1?attributes%5Bclick_id%5D=example_click_id" TargetMode="External"/><Relationship Id="rId168" Type="http://schemas.openxmlformats.org/officeDocument/2006/relationships/hyperlink" Target="http://machines.com.my" TargetMode="External"/><Relationship Id="rId289" Type="http://schemas.openxmlformats.org/officeDocument/2006/relationships/hyperlink" Target="http://uperfect.com" TargetMode="External"/><Relationship Id="rId167" Type="http://schemas.openxmlformats.org/officeDocument/2006/relationships/hyperlink" Target="https://lux-lumens.sg/cart/52353317896481:1?attributes%5Bclick_id%5D=example_click_id" TargetMode="External"/><Relationship Id="rId288" Type="http://schemas.openxmlformats.org/officeDocument/2006/relationships/hyperlink" Target="https://www.unmannedtechshop.co.uk/cart/58239463883133:1?attributes%5Bclick_id%5D=example_click_id" TargetMode="External"/><Relationship Id="rId166" Type="http://schemas.openxmlformats.org/officeDocument/2006/relationships/hyperlink" Target="http://lux-lumens.sg" TargetMode="External"/><Relationship Id="rId287" Type="http://schemas.openxmlformats.org/officeDocument/2006/relationships/hyperlink" Target="http://unmannedtechshop.co.uk" TargetMode="External"/><Relationship Id="rId51" Type="http://schemas.openxmlformats.org/officeDocument/2006/relationships/hyperlink" Target="http://camelnuts.com" TargetMode="External"/><Relationship Id="rId50" Type="http://schemas.openxmlformats.org/officeDocument/2006/relationships/hyperlink" Target="https://www.byndartisan.com/cart/44510152458282:1?attributes%5Bclick_id%5D=example_click_id" TargetMode="External"/><Relationship Id="rId53" Type="http://schemas.openxmlformats.org/officeDocument/2006/relationships/hyperlink" Target="http://coffeeaddicts.ca" TargetMode="External"/><Relationship Id="rId52" Type="http://schemas.openxmlformats.org/officeDocument/2006/relationships/hyperlink" Target="https://camelnuts.com/cart/49695366381853:1?attributes%5Bclick_id%5D=example_click_id" TargetMode="External"/><Relationship Id="rId55" Type="http://schemas.openxmlformats.org/officeDocument/2006/relationships/hyperlink" Target="http://coffeeam.com" TargetMode="External"/><Relationship Id="rId161" Type="http://schemas.openxmlformats.org/officeDocument/2006/relationships/hyperlink" Target="https://www.linsoul.com/cart/50542604648665:1?attributes%5Bclick_id%5D=example_click_id" TargetMode="External"/><Relationship Id="rId282" Type="http://schemas.openxmlformats.org/officeDocument/2006/relationships/hyperlink" Target="https://www.tuftandneedle.com/cart/44135014465602:1?attributes%5Bclick_id%5D=example_click_id" TargetMode="External"/><Relationship Id="rId54" Type="http://schemas.openxmlformats.org/officeDocument/2006/relationships/hyperlink" Target="https://coffeeaddicts.ca/cart/45193624453372:1?attributes%5Bclick_id%5D=example_click_id" TargetMode="External"/><Relationship Id="rId160" Type="http://schemas.openxmlformats.org/officeDocument/2006/relationships/hyperlink" Target="http://linsoul.com" TargetMode="External"/><Relationship Id="rId281" Type="http://schemas.openxmlformats.org/officeDocument/2006/relationships/hyperlink" Target="http://tuftandneedle.com" TargetMode="External"/><Relationship Id="rId57" Type="http://schemas.openxmlformats.org/officeDocument/2006/relationships/hyperlink" Target="http://coinbaseshop.com" TargetMode="External"/><Relationship Id="rId280" Type="http://schemas.openxmlformats.org/officeDocument/2006/relationships/hyperlink" Target="https://toyster.sg/cart/67759042822365:1?attributes%5Bclick_id%5D=example_click_id" TargetMode="External"/><Relationship Id="rId56" Type="http://schemas.openxmlformats.org/officeDocument/2006/relationships/hyperlink" Target="https://www.coffeeam.com/cart/46349221626053:1?attributes%5Bclick_id%5D=example_click_id" TargetMode="External"/><Relationship Id="rId159" Type="http://schemas.openxmlformats.org/officeDocument/2006/relationships/hyperlink" Target="https://levainbakery.com/cart/60580692820049:1?attributes%5Bclick_id%5D=example_click_id" TargetMode="External"/><Relationship Id="rId59" Type="http://schemas.openxmlformats.org/officeDocument/2006/relationships/hyperlink" Target="http://commonmancoffeeroasters.com" TargetMode="External"/><Relationship Id="rId154" Type="http://schemas.openxmlformats.org/officeDocument/2006/relationships/hyperlink" Target="http://kravebeauty.com" TargetMode="External"/><Relationship Id="rId275" Type="http://schemas.openxmlformats.org/officeDocument/2006/relationships/hyperlink" Target="http://thetinselrack.com" TargetMode="External"/><Relationship Id="rId58" Type="http://schemas.openxmlformats.org/officeDocument/2006/relationships/hyperlink" Target="https://coinbaseshop.com/cart/50600348877106:1?attributes%5Bclick_id%5D=example_click_id" TargetMode="External"/><Relationship Id="rId153" Type="http://schemas.openxmlformats.org/officeDocument/2006/relationships/hyperlink" Target="https://komorebistationery.com/cart/51256992399643:1?attributes%5Bclick_id%5D=example_click_id" TargetMode="External"/><Relationship Id="rId274" Type="http://schemas.openxmlformats.org/officeDocument/2006/relationships/hyperlink" Target="https://thesocialspace.co/cart/48788677656830:1?attributes%5Bclick_id%5D=example_click_id" TargetMode="External"/><Relationship Id="rId152" Type="http://schemas.openxmlformats.org/officeDocument/2006/relationships/hyperlink" Target="http://komorebistationery.com" TargetMode="External"/><Relationship Id="rId273" Type="http://schemas.openxmlformats.org/officeDocument/2006/relationships/hyperlink" Target="http://thesocialspace.co" TargetMode="External"/><Relationship Id="rId151" Type="http://schemas.openxmlformats.org/officeDocument/2006/relationships/hyperlink" Target="https://www.kohepets.com.sg/cart/51688411988214:1?attributes%5Bclick_id%5D=example_click_id" TargetMode="External"/><Relationship Id="rId272" Type="http://schemas.openxmlformats.org/officeDocument/2006/relationships/hyperlink" Target="https://thepihut.com/cart/56318061052289:1?attributes%5Bclick_id%5D=example_click_id" TargetMode="External"/><Relationship Id="rId158" Type="http://schemas.openxmlformats.org/officeDocument/2006/relationships/hyperlink" Target="http://levainbakery.com" TargetMode="External"/><Relationship Id="rId279" Type="http://schemas.openxmlformats.org/officeDocument/2006/relationships/hyperlink" Target="http://toyster.sg" TargetMode="External"/><Relationship Id="rId157" Type="http://schemas.openxmlformats.org/officeDocument/2006/relationships/hyperlink" Target="https://www.kydra.co/cart/44822312353983:1?attributes%5Bclick_id%5D=example_click_id" TargetMode="External"/><Relationship Id="rId278" Type="http://schemas.openxmlformats.org/officeDocument/2006/relationships/hyperlink" Target="https://thursdayboots.com/cart/44895399182426:1?attributes%5Bclick_id%5D=example_click_id" TargetMode="External"/><Relationship Id="rId156" Type="http://schemas.openxmlformats.org/officeDocument/2006/relationships/hyperlink" Target="http://kydra.co" TargetMode="External"/><Relationship Id="rId277" Type="http://schemas.openxmlformats.org/officeDocument/2006/relationships/hyperlink" Target="http://thursdayboots.com" TargetMode="External"/><Relationship Id="rId155" Type="http://schemas.openxmlformats.org/officeDocument/2006/relationships/hyperlink" Target="https://kravebeauty.com/cart/42175892160587:1?attributes%5Bclick_id%5D=example_click_id" TargetMode="External"/><Relationship Id="rId276" Type="http://schemas.openxmlformats.org/officeDocument/2006/relationships/hyperlink" Target="https://thetinselrack.com/cart/50444746588243:1?attributes%5Bclick_id%5D=example_click_id" TargetMode="External"/><Relationship Id="rId107" Type="http://schemas.openxmlformats.org/officeDocument/2006/relationships/hyperlink" Target="http://gmktec.com" TargetMode="External"/><Relationship Id="rId228" Type="http://schemas.openxmlformats.org/officeDocument/2006/relationships/hyperlink" Target="http://riverdogbakery.com" TargetMode="External"/><Relationship Id="rId106" Type="http://schemas.openxmlformats.org/officeDocument/2006/relationships/hyperlink" Target="https://gloriousgaming.com/cart/46703469691055:1?attributes%5Bclick_id%5D=example_click_id" TargetMode="External"/><Relationship Id="rId227" Type="http://schemas.openxmlformats.org/officeDocument/2006/relationships/hyperlink" Target="https://ritual.com/cart/43253299970142:1?attributes%5Bclick_id%5D=example_click_id" TargetMode="External"/><Relationship Id="rId105" Type="http://schemas.openxmlformats.org/officeDocument/2006/relationships/hyperlink" Target="http://gloriousgaming.com" TargetMode="External"/><Relationship Id="rId226" Type="http://schemas.openxmlformats.org/officeDocument/2006/relationships/hyperlink" Target="http://ritual.com" TargetMode="External"/><Relationship Id="rId104" Type="http://schemas.openxmlformats.org/officeDocument/2006/relationships/hyperlink" Target="https://www.gearit.com/cart/44314635862125:1?attributes%5Bclick_id%5D=example_click_id" TargetMode="External"/><Relationship Id="rId225" Type="http://schemas.openxmlformats.org/officeDocument/2006/relationships/hyperlink" Target="https://www.rabbitwine.com/cart/42170340704341:1?attributes%5Bclick_id%5D=example_click_id" TargetMode="External"/><Relationship Id="rId109" Type="http://schemas.openxmlformats.org/officeDocument/2006/relationships/hyperlink" Target="http://goli.com" TargetMode="External"/><Relationship Id="rId108" Type="http://schemas.openxmlformats.org/officeDocument/2006/relationships/hyperlink" Target="https://www.gmktec.com/cart/49224082620570:1?attributes%5Bclick_id%5D=example_click_id" TargetMode="External"/><Relationship Id="rId229" Type="http://schemas.openxmlformats.org/officeDocument/2006/relationships/hyperlink" Target="https://riverdogbakery.com/cart/47294120034559:1?attributes%5Bclick_id%5D=example_click_id" TargetMode="External"/><Relationship Id="rId220" Type="http://schemas.openxmlformats.org/officeDocument/2006/relationships/hyperlink" Target="http://publicgoods.com" TargetMode="External"/><Relationship Id="rId103" Type="http://schemas.openxmlformats.org/officeDocument/2006/relationships/hyperlink" Target="http://gearit.com" TargetMode="External"/><Relationship Id="rId224" Type="http://schemas.openxmlformats.org/officeDocument/2006/relationships/hyperlink" Target="http://rabbitwine.com" TargetMode="External"/><Relationship Id="rId102" Type="http://schemas.openxmlformats.org/officeDocument/2006/relationships/hyperlink" Target="https://www.gameology.com.au/cart/50530094022771:1?attributes%5Bclick_id%5D=example_click_id" TargetMode="External"/><Relationship Id="rId223" Type="http://schemas.openxmlformats.org/officeDocument/2006/relationships/hyperlink" Target="https://pupsik.sg/cart/47639520608510:1?attributes%5Bclick_id%5D=example_click_id" TargetMode="External"/><Relationship Id="rId101" Type="http://schemas.openxmlformats.org/officeDocument/2006/relationships/hyperlink" Target="http://gameology.com.au" TargetMode="External"/><Relationship Id="rId222" Type="http://schemas.openxmlformats.org/officeDocument/2006/relationships/hyperlink" Target="http://pupsik.sg" TargetMode="External"/><Relationship Id="rId100" Type="http://schemas.openxmlformats.org/officeDocument/2006/relationships/hyperlink" Target="https://fromourplace.com/cart/43940711923906:1?attributes%5Bclick_id%5D=example_click_id" TargetMode="External"/><Relationship Id="rId221" Type="http://schemas.openxmlformats.org/officeDocument/2006/relationships/hyperlink" Target="https://www.publicgoods.com/cart/50034195169418:1?attributes%5Bclick_id%5D=example_click_id" TargetMode="External"/><Relationship Id="rId217" Type="http://schemas.openxmlformats.org/officeDocument/2006/relationships/hyperlink" Target="https://prismplus.sg/cart/49520064692451:1?attributes%5Bclick_id%5D=example_click_id" TargetMode="External"/><Relationship Id="rId216" Type="http://schemas.openxmlformats.org/officeDocument/2006/relationships/hyperlink" Target="http://prismplus.sg" TargetMode="External"/><Relationship Id="rId215" Type="http://schemas.openxmlformats.org/officeDocument/2006/relationships/hyperlink" Target="https://pppcoffee.com/cart/52396922601692:1?attributes%5Bclick_id%5D=example_click_id" TargetMode="External"/><Relationship Id="rId214" Type="http://schemas.openxmlformats.org/officeDocument/2006/relationships/hyperlink" Target="http://pppcoffee.com" TargetMode="External"/><Relationship Id="rId219" Type="http://schemas.openxmlformats.org/officeDocument/2006/relationships/hyperlink" Target="https://prycetea.com/cart/43686345048199:1?attributes%5Bclick_id%5D=example_click_id" TargetMode="External"/><Relationship Id="rId218" Type="http://schemas.openxmlformats.org/officeDocument/2006/relationships/hyperlink" Target="http://prycetea.com" TargetMode="External"/><Relationship Id="rId213" Type="http://schemas.openxmlformats.org/officeDocument/2006/relationships/hyperlink" Target="https://popular.com.sg/cart/44237547733199:1?attributes%5Bclick_id%5D=example_click_id" TargetMode="External"/><Relationship Id="rId212" Type="http://schemas.openxmlformats.org/officeDocument/2006/relationships/hyperlink" Target="http://popular.com.sg" TargetMode="External"/><Relationship Id="rId211" Type="http://schemas.openxmlformats.org/officeDocument/2006/relationships/hyperlink" Target="https://www.polartech.com.au/cart/67757557383391:1?attributes%5Bclick_id%5D=example_click_id" TargetMode="External"/><Relationship Id="rId210" Type="http://schemas.openxmlformats.org/officeDocument/2006/relationships/hyperlink" Target="http://polartech.com.au" TargetMode="External"/><Relationship Id="rId129" Type="http://schemas.openxmlformats.org/officeDocument/2006/relationships/hyperlink" Target="http://huggscoffee.com" TargetMode="External"/><Relationship Id="rId128" Type="http://schemas.openxmlformats.org/officeDocument/2006/relationships/hyperlink" Target="https://www.hifihut.ie/cart/54806685909315:1?attributes%5Bclick_id%5D=example_click_id" TargetMode="External"/><Relationship Id="rId249" Type="http://schemas.openxmlformats.org/officeDocument/2006/relationships/hyperlink" Target="http://sixeleven.xyz" TargetMode="External"/><Relationship Id="rId127" Type="http://schemas.openxmlformats.org/officeDocument/2006/relationships/hyperlink" Target="http://hifihut.ie" TargetMode="External"/><Relationship Id="rId248" Type="http://schemas.openxmlformats.org/officeDocument/2006/relationships/hyperlink" Target="https://shoppy.sg/cart/15858759139377:1?attributes%5Bclick_id%5D=example_click_id" TargetMode="External"/><Relationship Id="rId126" Type="http://schemas.openxmlformats.org/officeDocument/2006/relationships/hyperlink" Target="https://hifigo.com/cart/50865785831663:1?attributes%5Bclick_id%5D=example_click_id" TargetMode="External"/><Relationship Id="rId247" Type="http://schemas.openxmlformats.org/officeDocument/2006/relationships/hyperlink" Target="http://shoppy.sg" TargetMode="External"/><Relationship Id="rId121" Type="http://schemas.openxmlformats.org/officeDocument/2006/relationships/hyperlink" Target="http://headphones.com" TargetMode="External"/><Relationship Id="rId242" Type="http://schemas.openxmlformats.org/officeDocument/2006/relationships/hyperlink" Target="https://shenzhenaudio.com/cart/51584986382579:1?attributes%5Bclick_id%5D=example_click_id" TargetMode="External"/><Relationship Id="rId120" Type="http://schemas.openxmlformats.org/officeDocument/2006/relationships/hyperlink" Target="https://hartsport.com.au/cart/43466491494489:1?attributes%5Bclick_id%5D=example_click_id" TargetMode="External"/><Relationship Id="rId241" Type="http://schemas.openxmlformats.org/officeDocument/2006/relationships/hyperlink" Target="http://shenzhenaudio.com" TargetMode="External"/><Relationship Id="rId240" Type="http://schemas.openxmlformats.org/officeDocument/2006/relationships/hyperlink" Target="https://sharkninja.com.au/cart/43622922846243:1?attributes%5Bclick_id%5D=example_click_id" TargetMode="External"/><Relationship Id="rId125" Type="http://schemas.openxmlformats.org/officeDocument/2006/relationships/hyperlink" Target="http://hifigo.com" TargetMode="External"/><Relationship Id="rId246" Type="http://schemas.openxmlformats.org/officeDocument/2006/relationships/hyperlink" Target="https://shop.hak5.org/cart/44293814452337:1?attributes%5Bclick_id%5D=example_click_id" TargetMode="External"/><Relationship Id="rId124" Type="http://schemas.openxmlformats.org/officeDocument/2006/relationships/hyperlink" Target="https://www.headphonezone.in/cart/52745233957232:1?attributes%5Bclick_id%5D=example_click_id" TargetMode="External"/><Relationship Id="rId245" Type="http://schemas.openxmlformats.org/officeDocument/2006/relationships/hyperlink" Target="http://shop.hak5.org" TargetMode="External"/><Relationship Id="rId123" Type="http://schemas.openxmlformats.org/officeDocument/2006/relationships/hyperlink" Target="http://headphonezone.in" TargetMode="External"/><Relationship Id="rId244" Type="http://schemas.openxmlformats.org/officeDocument/2006/relationships/hyperlink" Target="https://www.shiels.com.au/cart/44187788738789:1?attributes%5Bclick_id%5D=example_click_id" TargetMode="External"/><Relationship Id="rId122" Type="http://schemas.openxmlformats.org/officeDocument/2006/relationships/hyperlink" Target="https://headphones.com/cart/43242439508039:1?attributes%5Bclick_id%5D=example_click_id" TargetMode="External"/><Relationship Id="rId243" Type="http://schemas.openxmlformats.org/officeDocument/2006/relationships/hyperlink" Target="http://shiels.com.au" TargetMode="External"/><Relationship Id="rId95" Type="http://schemas.openxmlformats.org/officeDocument/2006/relationships/hyperlink" Target="http://forewordcoffee.com" TargetMode="External"/><Relationship Id="rId94" Type="http://schemas.openxmlformats.org/officeDocument/2006/relationships/hyperlink" Target="https://www.floraly.com.au/cart/44226246213911:1?attributes%5Bclick_id%5D=example_click_id" TargetMode="External"/><Relationship Id="rId97" Type="http://schemas.openxmlformats.org/officeDocument/2006/relationships/hyperlink" Target="http://forzasports.com" TargetMode="External"/><Relationship Id="rId96" Type="http://schemas.openxmlformats.org/officeDocument/2006/relationships/hyperlink" Target="https://forewordcoffee.com/cart/47269598429340:1?attributes%5Bclick_id%5D=example_click_id" TargetMode="External"/><Relationship Id="rId99" Type="http://schemas.openxmlformats.org/officeDocument/2006/relationships/hyperlink" Target="http://fromourplace.com" TargetMode="External"/><Relationship Id="rId98" Type="http://schemas.openxmlformats.org/officeDocument/2006/relationships/hyperlink" Target="https://forzasports.com/cart/45932078760071:1?attributes%5Bclick_id%5D=example_click_id" TargetMode="External"/><Relationship Id="rId91" Type="http://schemas.openxmlformats.org/officeDocument/2006/relationships/hyperlink" Target="http://flipper.net" TargetMode="External"/><Relationship Id="rId90" Type="http://schemas.openxmlformats.org/officeDocument/2006/relationships/hyperlink" Target="https://www.fashionnova.com/cart/39313711169660:1?attributes%5Bclick_id%5D=example_click_id" TargetMode="External"/><Relationship Id="rId93" Type="http://schemas.openxmlformats.org/officeDocument/2006/relationships/hyperlink" Target="http://floraly.com.au" TargetMode="External"/><Relationship Id="rId92" Type="http://schemas.openxmlformats.org/officeDocument/2006/relationships/hyperlink" Target="https://flipper.net/cart/42813335011481:1?attributes%5Bclick_id%5D=example_click_id" TargetMode="External"/><Relationship Id="rId118" Type="http://schemas.openxmlformats.org/officeDocument/2006/relationships/hyperlink" Target="https://www.harney.com/cart/43011753934919:1?attributes%5Bclick_id%5D=example_click_id" TargetMode="External"/><Relationship Id="rId239" Type="http://schemas.openxmlformats.org/officeDocument/2006/relationships/hyperlink" Target="http://sharkninja.com.au" TargetMode="External"/><Relationship Id="rId117" Type="http://schemas.openxmlformats.org/officeDocument/2006/relationships/hyperlink" Target="http://harney.com" TargetMode="External"/><Relationship Id="rId238" Type="http://schemas.openxmlformats.org/officeDocument/2006/relationships/hyperlink" Target="https://sg.allies.shop/cart/47999742050498:1?attributes%5Bclick_id%5D=example_click_id" TargetMode="External"/><Relationship Id="rId116" Type="http://schemas.openxmlformats.org/officeDocument/2006/relationships/hyperlink" Target="https://us.checkout.gymshark.com/cart/39799423992010:1?attributes%5Bclick_id%5D=example_click_id" TargetMode="External"/><Relationship Id="rId237" Type="http://schemas.openxmlformats.org/officeDocument/2006/relationships/hyperlink" Target="https://schupantech.com/cart/49046737092825:1?attributes%5Bclick_id%5D=example_click_id" TargetMode="External"/><Relationship Id="rId115" Type="http://schemas.openxmlformats.org/officeDocument/2006/relationships/hyperlink" Target="http://gymshark.com" TargetMode="External"/><Relationship Id="rId236" Type="http://schemas.openxmlformats.org/officeDocument/2006/relationships/hyperlink" Target="http://schupantech.com" TargetMode="External"/><Relationship Id="rId119" Type="http://schemas.openxmlformats.org/officeDocument/2006/relationships/hyperlink" Target="http://hartsport.com.au" TargetMode="External"/><Relationship Id="rId110" Type="http://schemas.openxmlformats.org/officeDocument/2006/relationships/hyperlink" Target="https://goli.com/cart/44170979016900:1?attributes%5Bclick_id%5D=example_click_id" TargetMode="External"/><Relationship Id="rId231" Type="http://schemas.openxmlformats.org/officeDocument/2006/relationships/hyperlink" Target="https://sansdrinks.com.au/cart/54921904423136:1?attributes%5Bclick_id%5D=example_click_id" TargetMode="External"/><Relationship Id="rId230" Type="http://schemas.openxmlformats.org/officeDocument/2006/relationships/hyperlink" Target="http://sansdrinks.com.au" TargetMode="External"/><Relationship Id="rId114" Type="http://schemas.openxmlformats.org/officeDocument/2006/relationships/hyperlink" Target="https://gryphontea.com/cart/45379806134306:1?attributes%5Bclick_id%5D=example_click_id" TargetMode="External"/><Relationship Id="rId235" Type="http://schemas.openxmlformats.org/officeDocument/2006/relationships/hyperlink" Target="https://scanteak.com.sg/cart/48176029892862:1?attributes%5Bclick_id%5D=example_click_id" TargetMode="External"/><Relationship Id="rId113" Type="http://schemas.openxmlformats.org/officeDocument/2006/relationships/hyperlink" Target="http://gryphontea.com" TargetMode="External"/><Relationship Id="rId234" Type="http://schemas.openxmlformats.org/officeDocument/2006/relationships/hyperlink" Target="http://scanteak.com.sg" TargetMode="External"/><Relationship Id="rId112" Type="http://schemas.openxmlformats.org/officeDocument/2006/relationships/hyperlink" Target="https://greatjonesgoods.com/cart/44838392430671:1?attributes%5Bclick_id%5D=example_click_id" TargetMode="External"/><Relationship Id="rId233" Type="http://schemas.openxmlformats.org/officeDocument/2006/relationships/hyperlink" Target="https://satechi.net/cart/44267709005912:1?attributes%5Bclick_id%5D=example_click_id" TargetMode="External"/><Relationship Id="rId111" Type="http://schemas.openxmlformats.org/officeDocument/2006/relationships/hyperlink" Target="http://greatjonesgoods.com" TargetMode="External"/><Relationship Id="rId232" Type="http://schemas.openxmlformats.org/officeDocument/2006/relationships/hyperlink" Target="http://satechi.net" TargetMode="External"/><Relationship Id="rId303" Type="http://schemas.openxmlformats.org/officeDocument/2006/relationships/drawing" Target="../drawings/drawing1.xml"/><Relationship Id="rId302" Type="http://schemas.openxmlformats.org/officeDocument/2006/relationships/hyperlink" Target="https://zmdesktop.com/cart/46304562970868:1?attributes%5Bclick_id%5D=example_click_id" TargetMode="External"/><Relationship Id="rId301" Type="http://schemas.openxmlformats.org/officeDocument/2006/relationships/hyperlink" Target="http://zmdesktop.com" TargetMode="External"/><Relationship Id="rId300" Type="http://schemas.openxmlformats.org/officeDocument/2006/relationships/hyperlink" Target="https://zenxin.com.sg/cart/46094659453157:1?attributes%5Bclick_id%5D=example_click_id" TargetMode="External"/><Relationship Id="rId206" Type="http://schemas.openxmlformats.org/officeDocument/2006/relationships/hyperlink" Target="http://playtech.co.nz" TargetMode="External"/><Relationship Id="rId205" Type="http://schemas.openxmlformats.org/officeDocument/2006/relationships/hyperlink" Target="https://plainvanilla.com.sg/cart/42074587496610:1?attributes%5Bclick_id%5D=example_click_id" TargetMode="External"/><Relationship Id="rId204" Type="http://schemas.openxmlformats.org/officeDocument/2006/relationships/hyperlink" Target="http://plainvanilla.com.sg" TargetMode="External"/><Relationship Id="rId203" Type="http://schemas.openxmlformats.org/officeDocument/2006/relationships/hyperlink" Target="https://pixiogaming.com/cart/52521820094596:1?attributes%5Bclick_id%5D=example_click_id" TargetMode="External"/><Relationship Id="rId209" Type="http://schemas.openxmlformats.org/officeDocument/2006/relationships/hyperlink" Target="https://plugable.com/cart/52269931266279:1?attributes%5Bclick_id%5D=example_click_id" TargetMode="External"/><Relationship Id="rId208" Type="http://schemas.openxmlformats.org/officeDocument/2006/relationships/hyperlink" Target="http://plugable.com" TargetMode="External"/><Relationship Id="rId207" Type="http://schemas.openxmlformats.org/officeDocument/2006/relationships/hyperlink" Target="https://playtech.co.nz/cart/53833591455908:1?attributes%5Bclick_id%5D=example_click_id" TargetMode="External"/><Relationship Id="rId202" Type="http://schemas.openxmlformats.org/officeDocument/2006/relationships/hyperlink" Target="http://pixiogaming.com" TargetMode="External"/><Relationship Id="rId201" Type="http://schemas.openxmlformats.org/officeDocument/2006/relationships/hyperlink" Target="https://picketandrail.com/cart/50521485770822:1?attributes%5Bclick_id%5D=example_click_id" TargetMode="External"/><Relationship Id="rId200" Type="http://schemas.openxmlformats.org/officeDocument/2006/relationships/hyperlink" Target="http://picketandr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</cols>
  <sheetData>
    <row r="1">
      <c r="A1" s="1" t="str">
        <f>IFERROR(__xludf.DUMMYFUNCTION("LET(src,IMPORTRANGE(""1n7B-9Gadgv3r4-8vEfWrQhJPoRrV6_EvimqgHf7HpQY"",""A:K""),norm,LAMBDA(x,REGEXREPLACE(REGEXREPLACE(LOWER(TRIM(x)),""^https?://"",""""),""^www\.|/.*$"","""")),srcG,FILTER(src,INDEX(src,,1)=""Green""),green,UNIQUE(VSTACK(TOCOL(MAP(CHOOSEC"&amp;"OLS(srcG,2,5,11),norm),1),TOCOL(MAP(IMPORTRANGE(""1hek5SIK87TetzvWWihbT9XtEOoN_9U8mAlAeEI1_7_I"",""'Manual Additions'!A2:A""),norm),1))),pick,LAMBDA(t,HSTACK(CHOOSECOLS(t,2,1,3,16,11),ARRAYFORMULA(TO_TEXT(CHOOSECOLS(t,12))),CHOOSECOLS(t,13,14,15))),v,IMPO"&amp;"RTRANGE(""1hek5SIK87TetzvWWihbT9XtEOoN_9U8mAlAeEI1_7_I"",""'Prava''s Currently Supported Merchant List'!A2:C""),blank,MAP(INDEX(v,,2),LAMBDA(x,"""")),all,VSTACK(pick(IMPORTRANGE(""1hek5SIK87TetzvWWihbT9XtEOoN_9U8mAlAeEI1_7_I"",""'Hackathon Merchant List'!"&amp;"A2:P"")),pick(IMPORTRANGE(""1hek5SIK87TetzvWWihbT9XtEOoN_9U8mAlAeEI1_7_I"",""'Client''s Merchant List (MT)'!A2:P"")),pick(IMPORTRANGE(""1hek5SIK87TetzvWWihbT9XtEOoN_9U8mAlAeEI1_7_I"",""'Client''s Merchant List (PRV)'!A2:P"")),pick(IMPORTRANGE(""1hek5SIK87"&amp;"TetzvWWihbT9XtEOoN_9U8mAlAeEI1_7_I"",""'Custom Checkout Merchant List'!A2:P"")),HSTACK(blank,blank,INDEX(v,,2),INDEX(v,,3),blank,blank,blank,blank,blank)),k,MAP(INDEX(all,,3),norm),rws,FILTER(all,k&lt;&gt;"""",ISNUMBER(XMATCH(k,green))),kk,FILTER(k,k&lt;&gt;"""",ISNU"&amp;"MBER(XMATCH(k,green))),dd,FILTER(rws,XMATCH(kk,kk)=SEQUENCE(ROWS(kk))),out,HSTACK(CHOOSECOLS(dd,1,2,3,4,5,6,7,8),MAP(CHOOSECOLS(dd,9),LAMBDA(u,IF(u="""","""",REGEXREPLACE(u,""\?.*$"","""")&amp;""?attributes[click_id]=example_click_id"")))),VSTACK({""Category"&amp;""",""Market"",""Merchant door"",""Ships to"",""Test product"",""Variant ID"",""Item price"",""Currency"",""Cart permalink""},SORT(out,3,TRUE)))"),"Category")</f>
        <v>Category</v>
      </c>
      <c r="B1" s="1" t="str">
        <f>IFERROR(__xludf.DUMMYFUNCTION("""COMPUTED_VALUE"""),"Market")</f>
        <v>Market</v>
      </c>
      <c r="C1" s="1" t="str">
        <f>IFERROR(__xludf.DUMMYFUNCTION("""COMPUTED_VALUE"""),"Merchant door")</f>
        <v>Merchant door</v>
      </c>
      <c r="D1" s="1" t="str">
        <f>IFERROR(__xludf.DUMMYFUNCTION("""COMPUTED_VALUE"""),"Ships to")</f>
        <v>Ships to</v>
      </c>
      <c r="E1" s="2" t="str">
        <f>IFERROR(__xludf.DUMMYFUNCTION("""COMPUTED_VALUE"""),"Test product")</f>
        <v>Test product</v>
      </c>
      <c r="F1" s="2" t="str">
        <f>IFERROR(__xludf.DUMMYFUNCTION("""COMPUTED_VALUE"""),"Variant ID")</f>
        <v>Variant ID</v>
      </c>
      <c r="G1" s="2" t="str">
        <f>IFERROR(__xludf.DUMMYFUNCTION("""COMPUTED_VALUE"""),"Item price")</f>
        <v>Item price</v>
      </c>
      <c r="H1" s="2" t="str">
        <f>IFERROR(__xludf.DUMMYFUNCTION("""COMPUTED_VALUE"""),"Currency")</f>
        <v>Currency</v>
      </c>
      <c r="I1" s="2" t="str">
        <f>IFERROR(__xludf.DUMMYFUNCTION("""COMPUTED_VALUE"""),"Cart permalink")</f>
        <v>Cart permalink</v>
      </c>
    </row>
    <row r="2">
      <c r="A2" s="1" t="str">
        <f>IFERROR(__xludf.DUMMYFUNCTION("""COMPUTED_VALUE"""),"Home &amp; Living")</f>
        <v>Home &amp; Living</v>
      </c>
      <c r="B2" s="1" t="str">
        <f>IFERROR(__xludf.DUMMYFUNCTION("""COMPUTED_VALUE"""),"US")</f>
        <v>US</v>
      </c>
      <c r="C2" s="3" t="str">
        <f>IFERROR(__xludf.DUMMYFUNCTION("""COMPUTED_VALUE"""),"abchome.com")</f>
        <v>abchome.com</v>
      </c>
      <c r="D2" s="1" t="str">
        <f>IFERROR(__xludf.DUMMYFUNCTION("""COMPUTED_VALUE"""),"CA, US")</f>
        <v>CA, US</v>
      </c>
      <c r="E2" s="2" t="str">
        <f>IFERROR(__xludf.DUMMYFUNCTION("""COMPUTED_VALUE"""),"Amiko End Table")</f>
        <v>Amiko End Table</v>
      </c>
      <c r="F2" s="2" t="str">
        <f>IFERROR(__xludf.DUMMYFUNCTION("""COMPUTED_VALUE"""),"47449632309386")</f>
        <v>47449632309386</v>
      </c>
      <c r="G2" s="2">
        <f>IFERROR(__xludf.DUMMYFUNCTION("""COMPUTED_VALUE"""),279.0)</f>
        <v>279</v>
      </c>
      <c r="H2" s="2" t="str">
        <f>IFERROR(__xludf.DUMMYFUNCTION("""COMPUTED_VALUE"""),"USD")</f>
        <v>USD</v>
      </c>
      <c r="I2" s="4" t="str">
        <f>IFERROR(__xludf.DUMMYFUNCTION("""COMPUTED_VALUE"""),"https://abchome.com/cart/47449632309386:1?attributes[click_id]=example_click_id")</f>
        <v>https://abchome.com/cart/47449632309386:1?attributes[click_id]=example_click_id</v>
      </c>
    </row>
    <row r="3">
      <c r="A3" s="1" t="str">
        <f>IFERROR(__xludf.DUMMYFUNCTION("""COMPUTED_VALUE"""),"Computers &amp; Electronics")</f>
        <v>Computers &amp; Electronics</v>
      </c>
      <c r="B3" s="1" t="str">
        <f>IFERROR(__xludf.DUMMYFUNCTION("""COMPUTED_VALUE"""),"MX")</f>
        <v>MX</v>
      </c>
      <c r="C3" s="3" t="str">
        <f>IFERROR(__xludf.DUMMYFUNCTION("""COMPUTED_VALUE"""),"acteck.com")</f>
        <v>acteck.com</v>
      </c>
      <c r="D3" s="1" t="str">
        <f>IFERROR(__xludf.DUMMYFUNCTION("""COMPUTED_VALUE"""),"MX")</f>
        <v>MX</v>
      </c>
      <c r="E3" s="2" t="str">
        <f>IFERROR(__xludf.DUMMYFUNCTION("""COMPUTED_VALUE"""),"Mouse Ultra Delgado Multidispositivo Aero One MI455A")</f>
        <v>Mouse Ultra Delgado Multidispositivo Aero One MI455A</v>
      </c>
      <c r="F3" s="2" t="str">
        <f>IFERROR(__xludf.DUMMYFUNCTION("""COMPUTED_VALUE"""),"51356269281595")</f>
        <v>51356269281595</v>
      </c>
      <c r="G3" s="2">
        <f>IFERROR(__xludf.DUMMYFUNCTION("""COMPUTED_VALUE"""),259.0)</f>
        <v>259</v>
      </c>
      <c r="H3" s="2" t="str">
        <f>IFERROR(__xludf.DUMMYFUNCTION("""COMPUTED_VALUE"""),"MXN")</f>
        <v>MXN</v>
      </c>
      <c r="I3" s="5" t="str">
        <f>IFERROR(__xludf.DUMMYFUNCTION("""COMPUTED_VALUE"""),"https://acteck.com/cart/51356269281595:1?attributes[click_id]=example_click_id")</f>
        <v>https://acteck.com/cart/51356269281595:1?attributes[click_id]=example_click_id</v>
      </c>
    </row>
    <row r="4">
      <c r="A4" s="1" t="str">
        <f>IFERROR(__xludf.DUMMYFUNCTION("""COMPUTED_VALUE"""),"Coffee &amp; Tea")</f>
        <v>Coffee &amp; Tea</v>
      </c>
      <c r="B4" s="1" t="str">
        <f>IFERROR(__xludf.DUMMYFUNCTION("""COMPUTED_VALUE"""),"SG")</f>
        <v>SG</v>
      </c>
      <c r="C4" s="3" t="str">
        <f>IFERROR(__xludf.DUMMYFUNCTION("""COMPUTED_VALUE"""),"alchemist.com.sg")</f>
        <v>alchemist.com.sg</v>
      </c>
      <c r="D4" s="1" t="str">
        <f>IFERROR(__xludf.DUMMYFUNCTION("""COMPUTED_VALUE"""),"AE, AU, BN, CN, HK, ID, IN, JP, KH, KR, LA, LK, MM, MO, MV, MY, PH, QA, SA, SG, TH, TW, US, VN")</f>
        <v>AE, AU, BN, CN, HK, ID, IN, JP, KH, KR, LA, LK, MM, MO, MV, MY, PH, QA, SA, SG, TH, TW, US, VN</v>
      </c>
      <c r="E4" s="2" t="str">
        <f>IFERROR(__xludf.DUMMYFUNCTION("""COMPUTED_VALUE"""),"El Borbollon - Espresso / 200g")</f>
        <v>El Borbollon - Espresso / 200g</v>
      </c>
      <c r="F4" s="2" t="str">
        <f>IFERROR(__xludf.DUMMYFUNCTION("""COMPUTED_VALUE"""),"52638886363418")</f>
        <v>52638886363418</v>
      </c>
      <c r="G4" s="2">
        <f>IFERROR(__xludf.DUMMYFUNCTION("""COMPUTED_VALUE"""),20.0)</f>
        <v>20</v>
      </c>
      <c r="H4" s="2" t="str">
        <f>IFERROR(__xludf.DUMMYFUNCTION("""COMPUTED_VALUE"""),"SGD")</f>
        <v>SGD</v>
      </c>
      <c r="I4" s="5" t="str">
        <f>IFERROR(__xludf.DUMMYFUNCTION("""COMPUTED_VALUE"""),"https://alchemist.global/cart/52638886363418:1?attributes[click_id]=example_click_id")</f>
        <v>https://alchemist.global/cart/52638886363418:1?attributes[click_id]=example_click_id</v>
      </c>
    </row>
    <row r="5">
      <c r="A5" s="1" t="str">
        <f>IFERROR(__xludf.DUMMYFUNCTION("""COMPUTED_VALUE"""),"Computers &amp; Electronics")</f>
        <v>Computers &amp; Electronics</v>
      </c>
      <c r="B5" s="1" t="str">
        <f>IFERROR(__xludf.DUMMYFUNCTION("""COMPUTED_VALUE"""),"SG")</f>
        <v>SG</v>
      </c>
      <c r="C5" s="3" t="str">
        <f>IFERROR(__xludf.DUMMYFUNCTION("""COMPUTED_VALUE"""),"anker.com.sg")</f>
        <v>anker.com.sg</v>
      </c>
      <c r="D5" s="1" t="str">
        <f>IFERROR(__xludf.DUMMYFUNCTION("""COMPUTED_VALUE"""),"MY, SG")</f>
        <v>MY, SG</v>
      </c>
      <c r="E5" s="2" t="str">
        <f>IFERROR(__xludf.DUMMYFUNCTION("""COMPUTED_VALUE"""),"Anker Nano USB-C Hub 8-in-1 Dual Display 85W A210B - Silver")</f>
        <v>Anker Nano USB-C Hub 8-in-1 Dual Display 85W A210B - Silver</v>
      </c>
      <c r="F5" s="2" t="str">
        <f>IFERROR(__xludf.DUMMYFUNCTION("""COMPUTED_VALUE"""),"52786047254813")</f>
        <v>52786047254813</v>
      </c>
      <c r="G5" s="2">
        <f>IFERROR(__xludf.DUMMYFUNCTION("""COMPUTED_VALUE"""),72.9)</f>
        <v>72.9</v>
      </c>
      <c r="H5" s="2" t="str">
        <f>IFERROR(__xludf.DUMMYFUNCTION("""COMPUTED_VALUE"""),"SGD")</f>
        <v>SGD</v>
      </c>
      <c r="I5" s="5" t="str">
        <f>IFERROR(__xludf.DUMMYFUNCTION("""COMPUTED_VALUE"""),"https://anker.com.sg/cart/52786047254813:1?attributes[click_id]=example_click_id")</f>
        <v>https://anker.com.sg/cart/52786047254813:1?attributes[click_id]=example_click_id</v>
      </c>
    </row>
    <row r="6">
      <c r="A6" s="1" t="str">
        <f>IFERROR(__xludf.DUMMYFUNCTION("""COMPUTED_VALUE"""),"Computers &amp; Electronics")</f>
        <v>Computers &amp; Electronics</v>
      </c>
      <c r="B6" s="1" t="str">
        <f>IFERROR(__xludf.DUMMYFUNCTION("""COMPUTED_VALUE"""),"US")</f>
        <v>US</v>
      </c>
      <c r="C6" s="3" t="str">
        <f>IFERROR(__xludf.DUMMYFUNCTION("""COMPUTED_VALUE"""),"arzopa.com")</f>
        <v>arzopa.com</v>
      </c>
      <c r="D6" s="1" t="str">
        <f>IFERROR(__xludf.DUMMYFUNCTION("""COMPUTED_VALUE"""),"AD, AE, AL, AM, AT, AU, AX, BA, BE, BG, BH, BL, BR, BY, CA, CH, CN, CY, CZ, DE, DK, EE, ES, FI, FR, GB, GE, GF, GI, GL, GP, GR, HR, HU, IE, IL, IS, IT, JE, JP, KR, KW, LI, LT, LU, LV, MC, MD, ME, MF, MK, MQ, MT, MX, NL, NO, OM, PH, PL, PM, PT, RE, RO, RS,"&amp;" SA, SE, SI, SK, SM, TF, TH, TR, UM, US, VA, XK, YT")</f>
        <v>AD, AE, AL, AM, AT, AU, AX, BA, BE, BG, BH, BL, BR, BY, CA, CH, CN, CY, CZ, DE, DK, EE, ES, FI, FR, GB, GE, GF, GI, GL, GP, GR, HR, HU, IE, IL, IS, IT, JE, JP, KR, KW, LI, LT, LU, LV, MC, MD, ME, MF, MK, MQ, MT, MX, NL, NO, OM, PH, PL, PM, PT, RE, RO, RS, SA, SE, SI, SK, SM, TF, TH, TR, UM, US, VA, XK, YT</v>
      </c>
      <c r="E6" s="2" t="str">
        <f>IFERROR(__xludf.DUMMYFUNCTION("""COMPUTED_VALUE"""),"Arzopa Z1C PLUS 17.3in 1080p Portable Monitor")</f>
        <v>Arzopa Z1C PLUS 17.3in 1080p Portable Monitor</v>
      </c>
      <c r="F6" s="2" t="str">
        <f>IFERROR(__xludf.DUMMYFUNCTION("""COMPUTED_VALUE"""),"48083756581027")</f>
        <v>48083756581027</v>
      </c>
      <c r="G6" s="2">
        <f>IFERROR(__xludf.DUMMYFUNCTION("""COMPUTED_VALUE"""),139.99)</f>
        <v>139.99</v>
      </c>
      <c r="H6" s="2" t="str">
        <f>IFERROR(__xludf.DUMMYFUNCTION("""COMPUTED_VALUE"""),"USD")</f>
        <v>USD</v>
      </c>
      <c r="I6" s="5" t="str">
        <f>IFERROR(__xludf.DUMMYFUNCTION("""COMPUTED_VALUE"""),"https://www.arzopa.com/cart/48083756581027:1?attributes[click_id]=example_click_id")</f>
        <v>https://www.arzopa.com/cart/48083756581027:1?attributes[click_id]=example_click_id</v>
      </c>
    </row>
    <row r="7">
      <c r="A7" s="1" t="str">
        <f>IFERROR(__xludf.DUMMYFUNCTION("""COMPUTED_VALUE"""),"Jewellery &amp; Watches")</f>
        <v>Jewellery &amp; Watches</v>
      </c>
      <c r="B7" s="1" t="str">
        <f>IFERROR(__xludf.DUMMYFUNCTION("""COMPUTED_VALUE"""),"US")</f>
        <v>US</v>
      </c>
      <c r="C7" s="3" t="str">
        <f>IFERROR(__xludf.DUMMYFUNCTION("""COMPUTED_VALUE"""),"atoleajewelry.com")</f>
        <v>atoleajewelry.com</v>
      </c>
      <c r="D7" s="1" t="str">
        <f>IFERROR(__xludf.DUMMYFUNCTION("""COMPUTED_VALUE"""),"AD, AE, AF, AG, AI, AL, AM, AR, AT, AU, AW, AX, AZ, BA, BB, BE, BG, BH, BL, BM, BN, BO, BQ, BR, BS, BT, BY, BZ, CA, CC, CD, CF, CG, CH, CK, CL, CN, CO, CR, CV, CW, CX, CY, CZ, DE, DJ, DK, DM, DO, DZ, EC, EE, EG, EH, ER, ES, ET, FI, FJ, FK, FO, FR, GA, GB,"&amp;" GD, GE, GF, GG, GH, GI, GL, GM, GN, GP, GQ, GR, GS, GT, GW, GY, HK, HN, HR, HT, HU, ID, IE, IN, IO, IQ, IS, IT, JM, JO, JP, KE, KG, KH, KI, KM, KN, KR, KW, KY, KZ, LA, LB, LC, LI, LK, LR, LS, LT, LU, LV, LY, MA, MC, MD, ME, MF, MG, MK, ML, MM, MN, MO, MQ"&amp;", MR, MS, MT, MU, MV, MW, MX, MY, MZ, NA, NC, NE, NF, NI, NL, NO, NP, NR, NU, NZ, OM, PA, PE, PF, PG, PH, PL, PM, PN, PS, PT, PY, QA, RE, RO, RS, RU, RW, SA, SB, SC, SD, SE, SG, SH, SI, SJ, SK, SL, SM, SN, SO, SR, SS, ST, SV, SX, SZ, TC, TD, TF, TG, TH, T"&amp;"J, TK, TL, TM, TN, TO, TR, TT, TV, TW, TZ, UA, UG, UM, US, UY, UZ, VA, VC, VE, VG, VN, VU, WF, WS, XK, YE, YT, ZA, ZM, ZW")</f>
        <v>AD, AE, AF, AG, AI, AL, AM, AR, AT, AU, AW, AX, AZ, BA, BB, BE, BG, BH, BL, BM, BN, BO, BQ, BR, BS, BT, BY, BZ, CA, CC, CD, CF, CG, CH, CK, CL, CN, CO, CR, CV, CW, CX, CY, CZ, DE, DJ, DK, DM, DO, DZ, EC, EE, EG, EH, ER, ES, ET, FI, FJ, FK, FO, FR, GA, GB, GD, GE, GF, GG, GH, GI, GL, GM, GN, GP, GQ, GR, GS, GT, GW, GY, HK, HN, HR, HT, HU, ID, IE, IN, IO, IQ, IS, IT, JM, JO, JP, KE, KG, KH, KI, KM, KN, KR, KW, KY, KZ, LA, LB, LC, LI, LK, LR, LS, LT, LU, LV, LY, MA, MC, MD, ME, MF, MG, MK, ML, MM, MN, MO, MQ, MR, MS, MT, MU, MV, MW, MX, MY, MZ, NA, NC, NE, NF, NI, NL, NO, NP, NR, NU, NZ, OM, PA, PE, PF, PG, PH, PL, PM, PN, PS, PT, PY, QA, RE, RO, RS, RU, RW, SA, SB, SC, SD, SE, SG, SH, SI, SJ, SK, SL, SM, SN, SO, SR, SS, ST, SV, SX, SZ, TC, TD, TF, TG, TH, TJ, TK, TL, TM, TN, TO, TR, TT, TV, TW, TZ, UA, UG, UM, US, UY, UZ, VA, VC, VE, VG, VN, VU, WF, WS, XK, YE, YT, ZA, ZM, ZW</v>
      </c>
      <c r="E7" s="2" t="str">
        <f>IFERROR(__xludf.DUMMYFUNCTION("""COMPUTED_VALUE"""),"The Sunshine Bauble")</f>
        <v>The Sunshine Bauble</v>
      </c>
      <c r="F7" s="2" t="str">
        <f>IFERROR(__xludf.DUMMYFUNCTION("""COMPUTED_VALUE"""),"58828498665804")</f>
        <v>58828498665804</v>
      </c>
      <c r="G7" s="2">
        <f>IFERROR(__xludf.DUMMYFUNCTION("""COMPUTED_VALUE"""),78.95)</f>
        <v>78.95</v>
      </c>
      <c r="H7" s="2" t="str">
        <f>IFERROR(__xludf.DUMMYFUNCTION("""COMPUTED_VALUE"""),"USD")</f>
        <v>USD</v>
      </c>
      <c r="I7" s="5" t="str">
        <f>IFERROR(__xludf.DUMMYFUNCTION("""COMPUTED_VALUE"""),"https://atoleajewelry.com/cart/58828498665804:1?attributes[click_id]=example_click_id")</f>
        <v>https://atoleajewelry.com/cart/58828498665804:1?attributes[click_id]=example_click_id</v>
      </c>
    </row>
    <row r="8">
      <c r="A8" s="1" t="str">
        <f>IFERROR(__xludf.DUMMYFUNCTION("""COMPUTED_VALUE"""),"Books &amp; Stationery")</f>
        <v>Books &amp; Stationery</v>
      </c>
      <c r="B8" s="1" t="str">
        <f>IFERROR(__xludf.DUMMYFUNCTION("""COMPUTED_VALUE"""),"US")</f>
        <v>US</v>
      </c>
      <c r="C8" s="3" t="str">
        <f>IFERROR(__xludf.DUMMYFUNCTION("""COMPUTED_VALUE"""),"atomicbooks.com")</f>
        <v>atomicbooks.com</v>
      </c>
      <c r="D8" s="1" t="str">
        <f>IFERROR(__xludf.DUMMYFUNCTION("""COMPUTED_VALUE"""),"US")</f>
        <v>US</v>
      </c>
      <c r="E8" s="2" t="str">
        <f>IFERROR(__xludf.DUMMYFUNCTION("""COMPUTED_VALUE"""),"Amazing Venom #4 [PRE-ORDER]")</f>
        <v>Amazing Venom #4 [PRE-ORDER]</v>
      </c>
      <c r="F8" s="2" t="str">
        <f>IFERROR(__xludf.DUMMYFUNCTION("""COMPUTED_VALUE"""),"50481500848384")</f>
        <v>50481500848384</v>
      </c>
      <c r="G8" s="2">
        <f>IFERROR(__xludf.DUMMYFUNCTION("""COMPUTED_VALUE"""),4.99)</f>
        <v>4.99</v>
      </c>
      <c r="H8" s="2" t="str">
        <f>IFERROR(__xludf.DUMMYFUNCTION("""COMPUTED_VALUE"""),"USD")</f>
        <v>USD</v>
      </c>
      <c r="I8" s="5" t="str">
        <f>IFERROR(__xludf.DUMMYFUNCTION("""COMPUTED_VALUE"""),"https://atomicbooks.com/cart/50481500848384:1?attributes[click_id]=example_click_id")</f>
        <v>https://atomicbooks.com/cart/50481500848384:1?attributes[click_id]=example_click_id</v>
      </c>
    </row>
    <row r="9">
      <c r="A9" s="1" t="str">
        <f>IFERROR(__xludf.DUMMYFUNCTION("""COMPUTED_VALUE"""),"Computers &amp; Electronics")</f>
        <v>Computers &amp; Electronics</v>
      </c>
      <c r="B9" s="1" t="str">
        <f>IFERROR(__xludf.DUMMYFUNCTION("""COMPUTED_VALUE"""),"US")</f>
        <v>US</v>
      </c>
      <c r="C9" s="3" t="str">
        <f>IFERROR(__xludf.DUMMYFUNCTION("""COMPUTED_VALUE"""),"auragaminggear.com")</f>
        <v>auragaminggear.com</v>
      </c>
      <c r="D9" s="1" t="str">
        <f>IFERROR(__xludf.DUMMYFUNCTION("""COMPUTED_VALUE"""),"AT, AU, BE, CA, CH, CZ, DE, DK, EE, ES, FR, GB, GR, HR, HU, IE, IS, IT, JP, LT, LU, LV, MC, MD, MT, NL, NO, NZ, PL, PT, RO, RS, SE, SI, SK, US")</f>
        <v>AT, AU, BE, CA, CH, CZ, DE, DK, EE, ES, FR, GB, GR, HR, HU, IE, IS, IT, JP, LT, LU, LV, MC, MD, MT, NL, NO, NZ, PL, PT, RO, RS, SE, SI, SK, US</v>
      </c>
      <c r="E9" s="2" t="str">
        <f>IFERROR(__xludf.DUMMYFUNCTION("""COMPUTED_VALUE"""),"SPEED MOUSEPAD - XL")</f>
        <v>SPEED MOUSEPAD - XL</v>
      </c>
      <c r="F9" s="2" t="str">
        <f>IFERROR(__xludf.DUMMYFUNCTION("""COMPUTED_VALUE"""),"54497381351715")</f>
        <v>54497381351715</v>
      </c>
      <c r="G9" s="2">
        <f>IFERROR(__xludf.DUMMYFUNCTION("""COMPUTED_VALUE"""),64.99)</f>
        <v>64.99</v>
      </c>
      <c r="H9" s="2" t="str">
        <f>IFERROR(__xludf.DUMMYFUNCTION("""COMPUTED_VALUE"""),"USD")</f>
        <v>USD</v>
      </c>
      <c r="I9" s="5" t="str">
        <f>IFERROR(__xludf.DUMMYFUNCTION("""COMPUTED_VALUE"""),"https://auragaminggear.com/cart/54497381351715:1?attributes[click_id]=example_click_id")</f>
        <v>https://auragaminggear.com/cart/54497381351715:1?attributes[click_id]=example_click_id</v>
      </c>
    </row>
    <row r="10">
      <c r="A10" s="1" t="str">
        <f>IFERROR(__xludf.DUMMYFUNCTION("""COMPUTED_VALUE"""),"Coffee &amp; Tea")</f>
        <v>Coffee &amp; Tea</v>
      </c>
      <c r="B10" s="1" t="str">
        <f>IFERROR(__xludf.DUMMYFUNCTION("""COMPUTED_VALUE"""),"US")</f>
        <v>US</v>
      </c>
      <c r="C10" s="3" t="str">
        <f>IFERROR(__xludf.DUMMYFUNCTION("""COMPUTED_VALUE"""),"badasscoffee.com")</f>
        <v>badasscoffee.com</v>
      </c>
      <c r="D10" s="1" t="str">
        <f>IFERROR(__xludf.DUMMYFUNCTION("""COMPUTED_VALUE"""),"*, CA, US")</f>
        <v>*, CA, US</v>
      </c>
      <c r="E10" s="2" t="str">
        <f>IFERROR(__xludf.DUMMYFUNCTION("""COMPUTED_VALUE"""),"Pumpkin Pecan Paradise Flavored 12oz Coffee")</f>
        <v>Pumpkin Pecan Paradise Flavored 12oz Coffee</v>
      </c>
      <c r="F10" s="2" t="str">
        <f>IFERROR(__xludf.DUMMYFUNCTION("""COMPUTED_VALUE"""),"52176877257073")</f>
        <v>52176877257073</v>
      </c>
      <c r="G10" s="2">
        <f>IFERROR(__xludf.DUMMYFUNCTION("""COMPUTED_VALUE"""),18.99)</f>
        <v>18.99</v>
      </c>
      <c r="H10" s="2" t="str">
        <f>IFERROR(__xludf.DUMMYFUNCTION("""COMPUTED_VALUE"""),"USD")</f>
        <v>USD</v>
      </c>
      <c r="I10" s="5" t="str">
        <f>IFERROR(__xludf.DUMMYFUNCTION("""COMPUTED_VALUE"""),"https://badasscoffee.com/cart/52176877257073:1?attributes[click_id]=example_click_id")</f>
        <v>https://badasscoffee.com/cart/52176877257073:1?attributes[click_id]=example_click_id</v>
      </c>
    </row>
    <row r="11">
      <c r="A11" s="1" t="str">
        <f>IFERROR(__xludf.DUMMYFUNCTION("""COMPUTED_VALUE"""),"Computers &amp; Electronics")</f>
        <v>Computers &amp; Electronics</v>
      </c>
      <c r="B11" s="1" t="str">
        <f>IFERROR(__xludf.DUMMYFUNCTION("""COMPUTED_VALUE"""),"MX")</f>
        <v>MX</v>
      </c>
      <c r="C11" s="3" t="str">
        <f>IFERROR(__xludf.DUMMYFUNCTION("""COMPUTED_VALUE"""),"balamrush.com")</f>
        <v>balamrush.com</v>
      </c>
      <c r="D11" s="1" t="str">
        <f>IFERROR(__xludf.DUMMYFUNCTION("""COMPUTED_VALUE"""),"MX")</f>
        <v>MX</v>
      </c>
      <c r="E11" s="2" t="str">
        <f>IFERROR(__xludf.DUMMYFUNCTION("""COMPUTED_VALUE"""),"Mouse Gamer Alambrico Raptor Plus MG2")</f>
        <v>Mouse Gamer Alambrico Raptor Plus MG2</v>
      </c>
      <c r="F11" s="2" t="str">
        <f>IFERROR(__xludf.DUMMYFUNCTION("""COMPUTED_VALUE"""),"52621052051743")</f>
        <v>52621052051743</v>
      </c>
      <c r="G11" s="2">
        <f>IFERROR(__xludf.DUMMYFUNCTION("""COMPUTED_VALUE"""),289.0)</f>
        <v>289</v>
      </c>
      <c r="H11" s="2" t="str">
        <f>IFERROR(__xludf.DUMMYFUNCTION("""COMPUTED_VALUE"""),"MXN")</f>
        <v>MXN</v>
      </c>
      <c r="I11" s="5" t="str">
        <f>IFERROR(__xludf.DUMMYFUNCTION("""COMPUTED_VALUE"""),"https://balamrush.com/cart/52621052051743:1?attributes[click_id]=example_click_id")</f>
        <v>https://balamrush.com/cart/52621052051743:1?attributes[click_id]=example_click_id</v>
      </c>
    </row>
    <row r="12">
      <c r="A12" s="1" t="str">
        <f>IFERROR(__xludf.DUMMYFUNCTION("""COMPUTED_VALUE"""),"Books &amp; Stationery")</f>
        <v>Books &amp; Stationery</v>
      </c>
      <c r="B12" s="1" t="str">
        <f>IFERROR(__xludf.DUMMYFUNCTION("""COMPUTED_VALUE"""),"US")</f>
        <v>US</v>
      </c>
      <c r="C12" s="3" t="str">
        <f>IFERROR(__xludf.DUMMYFUNCTION("""COMPUTED_VALUE"""),"baronfig.com")</f>
        <v>baronfig.com</v>
      </c>
      <c r="D12" s="1" t="str">
        <f>IFERROR(__xludf.DUMMYFUNCTION("""COMPUTED_VALUE"""),"AD, AG, AI, AL, AN, AR, AT, AU, AW, AX, BA, BB, BE, BG, BL, BM, BN, BO, BQ, BR, BS, BY, BZ, CA, CH, CL, CO, CR, CY, CZ, DE, DK, DO, EC, EE, ES, FI, FJ, FK, FO, FR, GB, GE, GF, GG, GI, GL, GR, GS, GT, GY, HK, HM, HR, HU, ID, IE, IM, IN, IS, IT, JE, JM, JP,"&amp;" KN, KR, KY, LC, LI, LK, LT, LU, LV, MA, MC, MD, ME, MF, MK, MM, MO, MT, MV, MX, MY, NL, NO, NP, NZ, PA, PE, PG, PH, PL, PM, PT, PY, RE, RO, RS, SE, SG, SI, SJ, SK, SM, SR, TC, TF, TH, TR, TT, TW, UA, US, UY, VA, VC, VE, VG, VN, XK, YT, ZA")</f>
        <v>AD, AG, AI, AL, AN, AR, AT, AU, AW, AX, BA, BB, BE, BG, BL, BM, BN, BO, BQ, BR, BS, BY, BZ, CA, CH, CL, CO, CR, CY, CZ, DE, DK, DO, EC, EE, ES, FI, FJ, FK, FO, FR, GB, GE, GF, GG, GI, GL, GR, GS, GT, GY, HK, HM, HR, HU, ID, IE, IM, IN, IS, IT, JE, JM, JP, KN, KR, KY, LC, LI, LK, LT, LU, LV, MA, MC, MD, ME, MF, MK, MM, MO, MT, MV, MX, MY, NL, NO, NP, NZ, PA, PE, PG, PH, PL, PM, PT, PY, RE, RO, RS, SE, SG, SI, SJ, SK, SM, SR, TC, TF, TH, TR, TT, TW, UA, US, UY, VA, VC, VE, VG, VN, XK, YT, ZA</v>
      </c>
      <c r="E12" s="2" t="str">
        <f>IFERROR(__xludf.DUMMYFUNCTION("""COMPUTED_VALUE"""),"Thinker Tote Bundle")</f>
        <v>Thinker Tote Bundle</v>
      </c>
      <c r="F12" s="2" t="str">
        <f>IFERROR(__xludf.DUMMYFUNCTION("""COMPUTED_VALUE"""),"45798527860819")</f>
        <v>45798527860819</v>
      </c>
      <c r="G12" s="2">
        <f>IFERROR(__xludf.DUMMYFUNCTION("""COMPUTED_VALUE"""),95.0)</f>
        <v>95</v>
      </c>
      <c r="H12" s="2" t="str">
        <f>IFERROR(__xludf.DUMMYFUNCTION("""COMPUTED_VALUE"""),"USD")</f>
        <v>USD</v>
      </c>
      <c r="I12" s="5" t="str">
        <f>IFERROR(__xludf.DUMMYFUNCTION("""COMPUTED_VALUE"""),"https://baronfig.com/cart/45798527860819:1?attributes[click_id]=example_click_id")</f>
        <v>https://baronfig.com/cart/45798527860819:1?attributes[click_id]=example_click_id</v>
      </c>
    </row>
    <row r="13">
      <c r="A13" s="1" t="str">
        <f>IFERROR(__xludf.DUMMYFUNCTION("""COMPUTED_VALUE"""),"Computers &amp; Electronics")</f>
        <v>Computers &amp; Electronics</v>
      </c>
      <c r="B13" s="1" t="str">
        <f>IFERROR(__xludf.DUMMYFUNCTION("""COMPUTED_VALUE"""),"US")</f>
        <v>US</v>
      </c>
      <c r="C13" s="3" t="str">
        <f>IFERROR(__xludf.DUMMYFUNCTION("""COMPUTED_VALUE"""),"baseus.com")</f>
        <v>baseus.com</v>
      </c>
      <c r="D13" s="1" t="str">
        <f>IFERROR(__xludf.DUMMYFUNCTION("""COMPUTED_VALUE"""),"US")</f>
        <v>US</v>
      </c>
      <c r="E13" s="2" t="str">
        <f>IFERROR(__xludf.DUMMYFUNCTION("""COMPUTED_VALUE"""),"Baseus PicoGo AR11 Power Bank 10000mAh 45W - Black")</f>
        <v>Baseus PicoGo AR11 Power Bank 10000mAh 45W - Black</v>
      </c>
      <c r="F13" s="2" t="str">
        <f>IFERROR(__xludf.DUMMYFUNCTION("""COMPUTED_VALUE"""),"50526114644045")</f>
        <v>50526114644045</v>
      </c>
      <c r="G13" s="2">
        <f>IFERROR(__xludf.DUMMYFUNCTION("""COMPUTED_VALUE"""),69.99)</f>
        <v>69.99</v>
      </c>
      <c r="H13" s="2" t="str">
        <f>IFERROR(__xludf.DUMMYFUNCTION("""COMPUTED_VALUE"""),"USD")</f>
        <v>USD</v>
      </c>
      <c r="I13" s="5" t="str">
        <f>IFERROR(__xludf.DUMMYFUNCTION("""COMPUTED_VALUE"""),"https://www.baseus.com/cart/50526114644045:1?attributes[click_id]=example_click_id")</f>
        <v>https://www.baseus.com/cart/50526114644045:1?attributes[click_id]=example_click_id</v>
      </c>
    </row>
    <row r="14">
      <c r="A14" s="1" t="str">
        <f>IFERROR(__xludf.DUMMYFUNCTION("""COMPUTED_VALUE"""),"Fashion &amp; Apparel")</f>
        <v>Fashion &amp; Apparel</v>
      </c>
      <c r="B14" s="1" t="str">
        <f>IFERROR(__xludf.DUMMYFUNCTION("""COMPUTED_VALUE"""),"UK")</f>
        <v>UK</v>
      </c>
      <c r="C14" s="3" t="str">
        <f>IFERROR(__xludf.DUMMYFUNCTION("""COMPUTED_VALUE"""),"bashfashion.co.uk")</f>
        <v>bashfashion.co.uk</v>
      </c>
      <c r="D14" s="1" t="str">
        <f>IFERROR(__xludf.DUMMYFUNCTION("""COMPUTED_VALUE"""),"AE, AT, AU, BE, BG, BR, CA, CH, CY, CZ, DE, DK, EE, ES, FI, FR, GB, GR, HK, HR, HU, IE, IL, IN, IT, JP, KR, LT, LU, LV, MT, MY, NL, NO, NZ, PL, PT, RO, SA, SE, SG, SI, SK, TR, US, ZA")</f>
        <v>AE, AT, AU, BE, BG, BR, CA, CH, CY, CZ, DE, DK, EE, ES, FI, FR, GB, GR, HK, HR, HU, IE, IL, IN, IT, JP, KR, LT, LU, LV, MT, MY, NL, NO, NZ, PL, PT, RO, SA, SE, SG, SI, SK, TR, US, ZA</v>
      </c>
      <c r="E14" s="2" t="str">
        <f>IFERROR(__xludf.DUMMYFUNCTION("""COMPUTED_VALUE"""),"Seat Belt Clip 20cm Extension Buckle")</f>
        <v>Seat Belt Clip 20cm Extension Buckle</v>
      </c>
      <c r="F14" s="2" t="str">
        <f>IFERROR(__xludf.DUMMYFUNCTION("""COMPUTED_VALUE"""),"56753479188854")</f>
        <v>56753479188854</v>
      </c>
      <c r="G14" s="2">
        <f>IFERROR(__xludf.DUMMYFUNCTION("""COMPUTED_VALUE"""),10.4)</f>
        <v>10.4</v>
      </c>
      <c r="H14" s="2" t="str">
        <f>IFERROR(__xludf.DUMMYFUNCTION("""COMPUTED_VALUE"""),"GBP")</f>
        <v>GBP</v>
      </c>
      <c r="I14" s="5" t="str">
        <f>IFERROR(__xludf.DUMMYFUNCTION("""COMPUTED_VALUE"""),"https://bashfashion.co.uk/cart/56753479188854:1?attributes[click_id]=example_click_id")</f>
        <v>https://bashfashion.co.uk/cart/56753479188854:1?attributes[click_id]=example_click_id</v>
      </c>
    </row>
    <row r="15">
      <c r="A15" s="1" t="str">
        <f>IFERROR(__xludf.DUMMYFUNCTION("""COMPUTED_VALUE"""),"Fashion &amp; Apparel")</f>
        <v>Fashion &amp; Apparel</v>
      </c>
      <c r="B15" s="1" t="str">
        <f>IFERROR(__xludf.DUMMYFUNCTION("""COMPUTED_VALUE"""),"MY")</f>
        <v>MY</v>
      </c>
      <c r="C15" s="3" t="str">
        <f>IFERROR(__xludf.DUMMYFUNCTION("""COMPUTED_VALUE"""),"batik.com.my")</f>
        <v>batik.com.my</v>
      </c>
      <c r="D15" s="1" t="str">
        <f>IFERROR(__xludf.DUMMYFUNCTION("""COMPUTED_VALUE"""),"AC, AD, AE, AF, AG, AI, AL, AM, AO, AR, AT, AU, AW, AX, AZ, BA, BB, BD, BE, BF, BG, BH, BI, BJ, BL, BM, BN, BO, BQ, BR, BS, BT, BW, BY, BZ, CA, CC, CD, CF, CG, CH, CI, CK, CL, CM, CN, CO, CR, CV, CW, CX, CY, CZ, DE, DJ, DK, DM, DO, DZ, EC, EE, EG, EH, ER,"&amp;" ES, ET, FI, FJ, FK, FO, FR, GA, GB, GD, GE, GF, GG, GH, GI, GL, GM, GN, GP, GQ, GR, GS, GT, GW, GY, HK, HN, HR, HT, HU, ID, IE, IL, IM, IN, IO, IQ, IS, IT, JE, JM, JO, JP, KE, KG, KH, KI, KM, KN, KR, KW, KY, KZ, LA, LB, LC, LI, LK, LR, LS, LT, LU, LV, LY"&amp;", MA, MC, MD, ME, MF, MG, MK, ML, MM, MN, MO, MQ, MR, MS, MT, MU, MV, MW, MX, MY, MZ, NA, NC, NE, NF, NG, NI, NL, NO, NP, NR, NU, NZ, OM, PA, PE, PF, PG, PH, PK, PL, PM, PN, PS, PT, PY, QA, RE, RO, RS, RU, RW, SA, SB, SC, SD, SE, SG, SH, SI, SJ, SK, SL, S"&amp;"M, SN, SO, SR, SS, ST, SV, SX, SZ, TA, TC, TD, TF, TG, TH, TJ, TK, TL, TM, TN, TO, TR, TT, TV, TW, TZ, UA, UG, UM, US, UY, UZ, VA, VC, VE, VG, VN, VU, WF, WS, XK, YE, YT, ZA, ZM, ZW")</f>
        <v>AC, AD, AE, AF, AG, AI, AL, AM, AO, AR, AT, AU, AW, AX, AZ, BA, BB, BD, BE, BF, BG, BH, BI, BJ, BL, BM, BN, BO, BQ, BR, BS, BT, BW, BY, BZ, CA, CC, CD, CF, CG, CH, CI, CK, CL, CM, CN, CO, CR, CV, CW, CX, CY, CZ, DE, DJ, DK, DM, DO, DZ, EC, EE, EG, EH, ER, ES, ET, FI, FJ, FK, FO, FR, GA, GB, GD, GE, GF, GG, GH, GI, GL, GM, GN, GP, GQ, GR, GS, GT, GW, GY, HK, HN, HR, HT, HU, ID, IE, IL, IM, IN, IO, IQ, IS, IT, JE, JM, JO, JP, KE, KG, KH, KI, KM, KN, KR, KW, KY, KZ, LA, LB, LC, LI, LK, LR, LS, LT, LU, LV, LY, MA, MC, MD, ME, MF, MG, MK, ML, MM, MN, MO, MQ, MR, MS, MT, MU, MV, MW, MX, MY, MZ, NA, NC, NE, NF, NG, NI, NL, NO, NP, NR, NU, NZ, OM, PA, PE, PF, PG, PH, PK, PL, PM, PN, PS, PT, PY, QA, RE, RO, RS, RU, RW, SA, SB, SC, SD, SE, SG, SH, SI, SJ, SK, SL, SM, SN, SO, SR, SS, ST, SV, SX, SZ, TA, TC, TD, TF, TG, TH, TJ, TK, TL, TM, TN, TO, TR, TT, TV, TW, TZ, UA, UG, UM, US, UY, UZ, VA, VC, VE, VG, VN, VU, WF, WS, XK, YE, YT, ZA, ZM, ZW</v>
      </c>
      <c r="E15" s="2" t="str">
        <f>IFERROR(__xludf.DUMMYFUNCTION("""COMPUTED_VALUE"""),"Batik Asymmetric Shirt - Verdant Grove - One size")</f>
        <v>Batik Asymmetric Shirt - Verdant Grove - One size</v>
      </c>
      <c r="F15" s="2" t="str">
        <f>IFERROR(__xludf.DUMMYFUNCTION("""COMPUTED_VALUE"""),"48448371327197")</f>
        <v>48448371327197</v>
      </c>
      <c r="G15" s="2">
        <f>IFERROR(__xludf.DUMMYFUNCTION("""COMPUTED_VALUE"""),199.0)</f>
        <v>199</v>
      </c>
      <c r="H15" s="2" t="str">
        <f>IFERROR(__xludf.DUMMYFUNCTION("""COMPUTED_VALUE"""),"MYR")</f>
        <v>MYR</v>
      </c>
      <c r="I15" s="5" t="str">
        <f>IFERROR(__xludf.DUMMYFUNCTION("""COMPUTED_VALUE"""),"https://batik.com.my/cart/48448371327197:1?attributes[click_id]=example_click_id")</f>
        <v>https://batik.com.my/cart/48448371327197:1?attributes[click_id]=example_click_id</v>
      </c>
    </row>
    <row r="16">
      <c r="A16" s="1" t="str">
        <f>IFERROR(__xludf.DUMMYFUNCTION("""COMPUTED_VALUE"""),"Beauty &amp; Personal Care")</f>
        <v>Beauty &amp; Personal Care</v>
      </c>
      <c r="B16" s="1" t="str">
        <f>IFERROR(__xludf.DUMMYFUNCTION("""COMPUTED_VALUE"""),"US")</f>
        <v>US</v>
      </c>
      <c r="C16" s="3" t="str">
        <f>IFERROR(__xludf.DUMMYFUNCTION("""COMPUTED_VALUE"""),"beautybakerie.com")</f>
        <v>beautybakerie.com</v>
      </c>
      <c r="D16" s="1" t="str">
        <f>IFERROR(__xludf.DUMMYFUNCTION("""COMPUTED_VALUE"""),"*, AC, AD, AE, AF, AG, AI, AL, AM, AO, AR, AT, AU, AW, AX, AZ, BA, BB, BD, BE, BF, BG, BH, BI, BJ, BL, BM, BN, BO, BQ, BR, BS, BT, BW, BY, BZ, CA, CC, CD, CF, CG, CH, CI, CK, CL, CM, CN, CO, CR, CV, CW, CX, CY, CZ, DE, DJ, DK, DM, DO, DZ, EC, EE, EG, EH, "&amp;"ER, ES, ET, FI, FJ, FK, FO, FR, GA, GB, GD, GE, GF, GG, GH, GI, GL, GM, GN, GP, GQ, GR, GS, GT, GW, GY, HK, HN, HR, HT, HU, ID, IE, IL, IM, IN, IO, IQ, IS, IT, JE, JM, JO, JP, KE, KG, KH, KI, KM, KN, KR, KW, KY, KZ, LA, LB, LC, LI, LK, LR, LS, LT, LU, LV,"&amp;" LY, MA, MC, MD, ME, MF, MG, MK, ML, MM, MN, MO, MQ, MR, MS, MT, MU, MV, MW, MX, MY, MZ, NA, NC, NE, NF, NG, NI, NL, NO, NP, NR, NU, NZ, OM, PA, PE, PF, PG, PH, PK, PL, PM, PN, PS, PT, PY, QA, RE, RO, RS, RU, RW, SA, SB, SC, SD, SE, SG, SH, SI, SJ, SK, SL"&amp;", SM, SN, SO, SR, SS, ST, SV, SX, SZ, TA, TC, TD, TF, TG, TH, TJ, TK, TL, TM, TN, TO, TR, TT, TV, TW, TZ, UA, UG, UM, US, UY, UZ, VA, VC, VE, VG, VN, VU, WF, WS, XK, YE, YT, ZA, ZM, ZW")</f>
        <v>*, AC, AD, AE, AF, AG, AI, AL, AM, AO, AR, AT, AU, AW, AX, AZ, BA, BB, BD, BE, BF, BG, BH, BI, BJ, BL, BM, BN, BO, BQ, BR, BS, BT, BW, BY, BZ, CA, CC, CD, CF, CG, CH, CI, CK, CL, CM, CN, CO, CR, CV, CW, CX, CY, CZ, DE, DJ, DK, DM, DO, DZ, EC, EE, EG, EH, ER, ES, ET, FI, FJ, FK, FO, FR, GA, GB, GD, GE, GF, GG, GH, GI, GL, GM, GN, GP, GQ, GR, GS, GT, GW, GY, HK, HN, HR, HT, HU, ID, IE, IL, IM, IN, IO, IQ, IS, IT, JE, JM, JO, JP, KE, KG, KH, KI, KM, KN, KR, KW, KY, KZ, LA, LB, LC, LI, LK, LR, LS, LT, LU, LV, LY, MA, MC, MD, ME, MF, MG, MK, ML, MM, MN, MO, MQ, MR, MS, MT, MU, MV, MW, MX, MY, MZ, NA, NC, NE, NF, NG, NI, NL, NO, NP, NR, NU, NZ, OM, PA, PE, PF, PG, PH, PK, PL, PM, PN, PS, PT, PY, QA, RE, RO, RS, RU, RW, SA, SB, SC, SD, SE, SG, SH, SI, SJ, SK, SL, SM, SN, SO, SR, SS, ST, SV, SX, SZ, TA, TC, TD, TF, TG, TH, TJ, TK, TL, TM, TN, TO, TR, TT, TV, TW, TZ, UA, UG, UM, US, UY, UZ, VA, VC, VE, VG, VN, VU, WF, WS, XK, YE, YT, ZA, ZM, ZW</v>
      </c>
      <c r="E16" s="2" t="str">
        <f>IFERROR(__xludf.DUMMYFUNCTION("""COMPUTED_VALUE"""),"Lip Whip Remover")</f>
        <v>Lip Whip Remover</v>
      </c>
      <c r="F16" s="2" t="str">
        <f>IFERROR(__xludf.DUMMYFUNCTION("""COMPUTED_VALUE"""),"19863507905")</f>
        <v>19863507905</v>
      </c>
      <c r="G16" s="2">
        <f>IFERROR(__xludf.DUMMYFUNCTION("""COMPUTED_VALUE"""),11.2)</f>
        <v>11.2</v>
      </c>
      <c r="H16" s="2" t="str">
        <f>IFERROR(__xludf.DUMMYFUNCTION("""COMPUTED_VALUE"""),"USD")</f>
        <v>USD</v>
      </c>
      <c r="I16" s="5" t="str">
        <f>IFERROR(__xludf.DUMMYFUNCTION("""COMPUTED_VALUE"""),"https://www.beautybakerie.com/cart/19863507905:1?attributes[click_id]=example_click_id")</f>
        <v>https://www.beautybakerie.com/cart/19863507905:1?attributes[click_id]=example_click_id</v>
      </c>
    </row>
    <row r="17">
      <c r="A17" s="1" t="str">
        <f>IFERROR(__xludf.DUMMYFUNCTION("""COMPUTED_VALUE"""),"Beauty &amp; Personal Care")</f>
        <v>Beauty &amp; Personal Care</v>
      </c>
      <c r="B17" s="1" t="str">
        <f>IFERROR(__xludf.DUMMYFUNCTION("""COMPUTED_VALUE"""),"US")</f>
        <v>US</v>
      </c>
      <c r="C17" s="3" t="str">
        <f>IFERROR(__xludf.DUMMYFUNCTION("""COMPUTED_VALUE"""),"beautyofjoseon.com")</f>
        <v>beautyofjoseon.com</v>
      </c>
      <c r="D17" s="1" t="str">
        <f>IFERROR(__xludf.DUMMYFUNCTION("""COMPUTED_VALUE"""),"AE, AT, AU, BE, BG, CA, CH, CY, CZ, DE, DK, ES, FI, FR, GB, HK, HR, HU, IE, IL, IN, IS, IT, JP, LU, MT, NL, NO, NZ, PH, PL, PT, RO, SA, SE, SG, SI, US")</f>
        <v>AE, AT, AU, BE, BG, CA, CH, CY, CZ, DE, DK, ES, FI, FR, GB, HK, HR, HU, IE, IL, IN, IS, IT, JP, LU, MT, NL, NO, NZ, PH, PL, PT, RO, SA, SE, SG, SI, US</v>
      </c>
      <c r="E17" s="2" t="str">
        <f>IFERROR(__xludf.DUMMYFUNCTION("""COMPUTED_VALUE"""),"Slow Aging Trio")</f>
        <v>Slow Aging Trio</v>
      </c>
      <c r="F17" s="2" t="str">
        <f>IFERROR(__xludf.DUMMYFUNCTION("""COMPUTED_VALUE"""),"44051757727909")</f>
        <v>44051757727909</v>
      </c>
      <c r="G17" s="2">
        <f>IFERROR(__xludf.DUMMYFUNCTION("""COMPUTED_VALUE"""),38.35)</f>
        <v>38.35</v>
      </c>
      <c r="H17" s="2" t="str">
        <f>IFERROR(__xludf.DUMMYFUNCTION("""COMPUTED_VALUE"""),"USD")</f>
        <v>USD</v>
      </c>
      <c r="I17" s="5" t="str">
        <f>IFERROR(__xludf.DUMMYFUNCTION("""COMPUTED_VALUE"""),"https://beautyofjoseon.com/cart/44051757727909:1?attributes[click_id]=example_click_id")</f>
        <v>https://beautyofjoseon.com/cart/44051757727909:1?attributes[click_id]=example_click_id</v>
      </c>
    </row>
    <row r="18">
      <c r="A18" s="1" t="str">
        <f>IFERROR(__xludf.DUMMYFUNCTION("""COMPUTED_VALUE"""),"Coffee &amp; Tea")</f>
        <v>Coffee &amp; Tea</v>
      </c>
      <c r="B18" s="1" t="str">
        <f>IFERROR(__xludf.DUMMYFUNCTION("""COMPUTED_VALUE"""),"SG")</f>
        <v>SG</v>
      </c>
      <c r="C18" s="3" t="str">
        <f>IFERROR(__xludf.DUMMYFUNCTION("""COMPUTED_VALUE"""),"bettrcoffee.com")</f>
        <v>bettrcoffee.com</v>
      </c>
      <c r="D18" s="1" t="str">
        <f>IFERROR(__xludf.DUMMYFUNCTION("""COMPUTED_VALUE"""),"AU, SG, US")</f>
        <v>AU, SG, US</v>
      </c>
      <c r="E18" s="2" t="str">
        <f>IFERROR(__xludf.DUMMYFUNCTION("""COMPUTED_VALUE"""),"Brazil Mogiana 14/16 - 500g")</f>
        <v>Brazil Mogiana 14/16 - 500g</v>
      </c>
      <c r="F18" s="2" t="str">
        <f>IFERROR(__xludf.DUMMYFUNCTION("""COMPUTED_VALUE"""),"42713423675505")</f>
        <v>42713423675505</v>
      </c>
      <c r="G18" s="2">
        <f>IFERROR(__xludf.DUMMYFUNCTION("""COMPUTED_VALUE"""),20.0)</f>
        <v>20</v>
      </c>
      <c r="H18" s="2" t="str">
        <f>IFERROR(__xludf.DUMMYFUNCTION("""COMPUTED_VALUE"""),"SGD")</f>
        <v>SGD</v>
      </c>
      <c r="I18" s="5" t="str">
        <f>IFERROR(__xludf.DUMMYFUNCTION("""COMPUTED_VALUE"""),"https://bettr.coffee/cart/42713423675505:1?attributes[click_id]=example_click_id")</f>
        <v>https://bettr.coffee/cart/42713423675505:1?attributes[click_id]=example_click_id</v>
      </c>
    </row>
    <row r="19">
      <c r="A19" s="1" t="str">
        <f>IFERROR(__xludf.DUMMYFUNCTION("""COMPUTED_VALUE"""),"Bakery &amp; Desserts")</f>
        <v>Bakery &amp; Desserts</v>
      </c>
      <c r="B19" s="1" t="str">
        <f>IFERROR(__xludf.DUMMYFUNCTION("""COMPUTED_VALUE"""),"SG")</f>
        <v>SG</v>
      </c>
      <c r="C19" s="3" t="str">
        <f>IFERROR(__xludf.DUMMYFUNCTION("""COMPUTED_VALUE"""),"birdsofparadise.sg")</f>
        <v>birdsofparadise.sg</v>
      </c>
      <c r="D19" s="1" t="str">
        <f>IFERROR(__xludf.DUMMYFUNCTION("""COMPUTED_VALUE"""),"SG")</f>
        <v>SG</v>
      </c>
      <c r="E19" s="2" t="str">
        <f>IFERROR(__xludf.DUMMYFUNCTION("""COMPUTED_VALUE"""),"Paradise Set")</f>
        <v>Paradise Set</v>
      </c>
      <c r="F19" s="2" t="str">
        <f>IFERROR(__xludf.DUMMYFUNCTION("""COMPUTED_VALUE"""),"45500127805484")</f>
        <v>45500127805484</v>
      </c>
      <c r="G19" s="2">
        <f>IFERROR(__xludf.DUMMYFUNCTION("""COMPUTED_VALUE"""),76.0)</f>
        <v>76</v>
      </c>
      <c r="H19" s="2" t="str">
        <f>IFERROR(__xludf.DUMMYFUNCTION("""COMPUTED_VALUE"""),"SGD")</f>
        <v>SGD</v>
      </c>
      <c r="I19" s="5" t="str">
        <f>IFERROR(__xludf.DUMMYFUNCTION("""COMPUTED_VALUE"""),"https://birdsofparadise.sg/cart/45500127805484:1?attributes[click_id]=example_click_id")</f>
        <v>https://birdsofparadise.sg/cart/45500127805484:1?attributes[click_id]=example_click_id</v>
      </c>
    </row>
    <row r="20">
      <c r="A20" s="1" t="str">
        <f>IFERROR(__xludf.DUMMYFUNCTION("""COMPUTED_VALUE"""),"Coffee &amp; Tea")</f>
        <v>Coffee &amp; Tea</v>
      </c>
      <c r="B20" s="1" t="str">
        <f>IFERROR(__xludf.DUMMYFUNCTION("""COMPUTED_VALUE"""),"MX")</f>
        <v>MX</v>
      </c>
      <c r="C20" s="3" t="str">
        <f>IFERROR(__xludf.DUMMYFUNCTION("""COMPUTED_VALUE"""),"blendstation.com.mx")</f>
        <v>blendstation.com.mx</v>
      </c>
      <c r="D20" s="1" t="str">
        <f>IFERROR(__xludf.DUMMYFUNCTION("""COMPUTED_VALUE"""),"MX")</f>
        <v>MX</v>
      </c>
      <c r="E20" s="2" t="str">
        <f>IFERROR(__xludf.DUMMYFUNCTION("""COMPUTED_VALUE"""),"Cafe Guerrero Atoyac Bourbon Tipica Natural Fermentado - 250 gr / Grano")</f>
        <v>Cafe Guerrero Atoyac Bourbon Tipica Natural Fermentado - 250 gr / Grano</v>
      </c>
      <c r="F20" s="2" t="str">
        <f>IFERROR(__xludf.DUMMYFUNCTION("""COMPUTED_VALUE"""),"47607777984690")</f>
        <v>47607777984690</v>
      </c>
      <c r="G20" s="2">
        <f>IFERROR(__xludf.DUMMYFUNCTION("""COMPUTED_VALUE"""),300.0)</f>
        <v>300</v>
      </c>
      <c r="H20" s="2" t="str">
        <f>IFERROR(__xludf.DUMMYFUNCTION("""COMPUTED_VALUE"""),"MXN")</f>
        <v>MXN</v>
      </c>
      <c r="I20" s="5" t="str">
        <f>IFERROR(__xludf.DUMMYFUNCTION("""COMPUTED_VALUE"""),"https://blendstation.com.mx/cart/47607777984690:1?attributes[click_id]=example_click_id")</f>
        <v>https://blendstation.com.mx/cart/47607777984690:1?attributes[click_id]=example_click_id</v>
      </c>
    </row>
    <row r="21">
      <c r="A21" s="1" t="str">
        <f>IFERROR(__xludf.DUMMYFUNCTION("""COMPUTED_VALUE"""),"Beauty &amp; Personal Care")</f>
        <v>Beauty &amp; Personal Care</v>
      </c>
      <c r="B21" s="1" t="str">
        <f>IFERROR(__xludf.DUMMYFUNCTION("""COMPUTED_VALUE"""),"US")</f>
        <v>US</v>
      </c>
      <c r="C21" s="3" t="str">
        <f>IFERROR(__xludf.DUMMYFUNCTION("""COMPUTED_VALUE"""),"bluemercury.com")</f>
        <v>bluemercury.com</v>
      </c>
      <c r="D21" s="1" t="str">
        <f>IFERROR(__xludf.DUMMYFUNCTION("""COMPUTED_VALUE"""),"US")</f>
        <v>US</v>
      </c>
      <c r="E21" s="2" t="str">
        <f>IFERROR(__xludf.DUMMYFUNCTION("""COMPUTED_VALUE"""),"Pumpkin Chai Liquid Soap")</f>
        <v>Pumpkin Chai Liquid Soap</v>
      </c>
      <c r="F21" s="2" t="str">
        <f>IFERROR(__xludf.DUMMYFUNCTION("""COMPUTED_VALUE"""),"41629698031691")</f>
        <v>41629698031691</v>
      </c>
      <c r="G21" s="2">
        <f>IFERROR(__xludf.DUMMYFUNCTION("""COMPUTED_VALUE"""),28.0)</f>
        <v>28</v>
      </c>
      <c r="H21" s="2" t="str">
        <f>IFERROR(__xludf.DUMMYFUNCTION("""COMPUTED_VALUE"""),"USD")</f>
        <v>USD</v>
      </c>
      <c r="I21" s="5" t="str">
        <f>IFERROR(__xludf.DUMMYFUNCTION("""COMPUTED_VALUE"""),"https://bluemercury.com/cart/41629698031691:1?attributes[click_id]=example_click_id")</f>
        <v>https://bluemercury.com/cart/41629698031691:1?attributes[click_id]=example_click_id</v>
      </c>
    </row>
    <row r="22">
      <c r="A22" s="1" t="str">
        <f>IFERROR(__xludf.DUMMYFUNCTION("""COMPUTED_VALUE"""),"Coffee &amp; Tea")</f>
        <v>Coffee &amp; Tea</v>
      </c>
      <c r="B22" s="1" t="str">
        <f>IFERROR(__xludf.DUMMYFUNCTION("""COMPUTED_VALUE"""),"US")</f>
        <v>US</v>
      </c>
      <c r="C22" s="3" t="str">
        <f>IFERROR(__xludf.DUMMYFUNCTION("""COMPUTED_VALUE"""),"bonescoffee.com")</f>
        <v>bonescoffee.com</v>
      </c>
      <c r="D22" s="1" t="str">
        <f>IFERROR(__xludf.DUMMYFUNCTION("""COMPUTED_VALUE"""),"*, UM, US")</f>
        <v>*, UM, US</v>
      </c>
      <c r="E22" s="2" t="str">
        <f>IFERROR(__xludf.DUMMYFUNCTION("""COMPUTED_VALUE"""),"Jacked O' Lantern 12oz - Ground")</f>
        <v>Jacked O' Lantern 12oz - Ground</v>
      </c>
      <c r="F22" s="2" t="str">
        <f>IFERROR(__xludf.DUMMYFUNCTION("""COMPUTED_VALUE"""),"25271186497")</f>
        <v>25271186497</v>
      </c>
      <c r="G22" s="2">
        <f>IFERROR(__xludf.DUMMYFUNCTION("""COMPUTED_VALUE"""),17.99)</f>
        <v>17.99</v>
      </c>
      <c r="H22" s="2" t="str">
        <f>IFERROR(__xludf.DUMMYFUNCTION("""COMPUTED_VALUE"""),"USD")</f>
        <v>USD</v>
      </c>
      <c r="I22" s="5" t="str">
        <f>IFERROR(__xludf.DUMMYFUNCTION("""COMPUTED_VALUE"""),"https://www.bonescoffee.com/cart/25271186497:1?attributes[click_id]=example_click_id")</f>
        <v>https://www.bonescoffee.com/cart/25271186497:1?attributes[click_id]=example_click_id</v>
      </c>
    </row>
    <row r="23">
      <c r="A23" s="1" t="str">
        <f>IFERROR(__xludf.DUMMYFUNCTION("""COMPUTED_VALUE"""),"Office &amp; Business Supplies")</f>
        <v>Office &amp; Business Supplies</v>
      </c>
      <c r="B23" s="1" t="str">
        <f>IFERROR(__xludf.DUMMYFUNCTION("""COMPUTED_VALUE"""),"SG")</f>
        <v>SG</v>
      </c>
      <c r="C23" s="3" t="str">
        <f>IFERROR(__xludf.DUMMYFUNCTION("""COMPUTED_VALUE"""),"boxgreen.co")</f>
        <v>boxgreen.co</v>
      </c>
      <c r="D23" s="1" t="str">
        <f>IFERROR(__xludf.DUMMYFUNCTION("""COMPUTED_VALUE"""),"MY, SG")</f>
        <v>MY, SG</v>
      </c>
      <c r="E23" s="2" t="str">
        <f>IFERROR(__xludf.DUMMYFUNCTION("""COMPUTED_VALUE"""),"The Trio Big Bag of Snacks")</f>
        <v>The Trio Big Bag of Snacks</v>
      </c>
      <c r="F23" s="2" t="str">
        <f>IFERROR(__xludf.DUMMYFUNCTION("""COMPUTED_VALUE"""),"46221035503660")</f>
        <v>46221035503660</v>
      </c>
      <c r="G23" s="2">
        <f>IFERROR(__xludf.DUMMYFUNCTION("""COMPUTED_VALUE"""),50.0)</f>
        <v>50</v>
      </c>
      <c r="H23" s="2" t="str">
        <f>IFERROR(__xludf.DUMMYFUNCTION("""COMPUTED_VALUE"""),"SGD")</f>
        <v>SGD</v>
      </c>
      <c r="I23" s="5" t="str">
        <f>IFERROR(__xludf.DUMMYFUNCTION("""COMPUTED_VALUE"""),"https://www.boxgreen.co/cart/46221035503660:1?attributes[click_id]=example_click_id")</f>
        <v>https://www.boxgreen.co/cart/46221035503660:1?attributes[click_id]=example_click_id</v>
      </c>
    </row>
    <row r="24">
      <c r="A24" s="1" t="str">
        <f>IFERROR(__xludf.DUMMYFUNCTION("""COMPUTED_VALUE"""),"Drinks &amp; Alcohol")</f>
        <v>Drinks &amp; Alcohol</v>
      </c>
      <c r="B24" s="1" t="str">
        <f>IFERROR(__xludf.DUMMYFUNCTION("""COMPUTED_VALUE"""),"SG")</f>
        <v>SG</v>
      </c>
      <c r="C24" s="3" t="str">
        <f>IFERROR(__xludf.DUMMYFUNCTION("""COMPUTED_VALUE"""),"brewlander.com")</f>
        <v>brewlander.com</v>
      </c>
      <c r="D24" s="1" t="str">
        <f>IFERROR(__xludf.DUMMYFUNCTION("""COMPUTED_VALUE"""),"SG")</f>
        <v>SG</v>
      </c>
      <c r="E24" s="2" t="str">
        <f>IFERROR(__xludf.DUMMYFUNCTION("""COMPUTED_VALUE"""),"SG LAHger - 6 Pack")</f>
        <v>SG LAHger - 6 Pack</v>
      </c>
      <c r="F24" s="2" t="str">
        <f>IFERROR(__xludf.DUMMYFUNCTION("""COMPUTED_VALUE"""),"51386875740481")</f>
        <v>51386875740481</v>
      </c>
      <c r="G24" s="2">
        <f>IFERROR(__xludf.DUMMYFUNCTION("""COMPUTED_VALUE"""),33.0)</f>
        <v>33</v>
      </c>
      <c r="H24" s="2" t="str">
        <f>IFERROR(__xludf.DUMMYFUNCTION("""COMPUTED_VALUE"""),"SGD")</f>
        <v>SGD</v>
      </c>
      <c r="I24" s="5" t="str">
        <f>IFERROR(__xludf.DUMMYFUNCTION("""COMPUTED_VALUE"""),"https://www.brewlander.com/cart/51386875740481:1?attributes[click_id]=example_click_id")</f>
        <v>https://www.brewlander.com/cart/51386875740481:1?attributes[click_id]=example_click_id</v>
      </c>
    </row>
    <row r="25">
      <c r="A25" s="1" t="str">
        <f>IFERROR(__xludf.DUMMYFUNCTION("""COMPUTED_VALUE"""),"Home &amp; Living")</f>
        <v>Home &amp; Living</v>
      </c>
      <c r="B25" s="1" t="str">
        <f>IFERROR(__xludf.DUMMYFUNCTION("""COMPUTED_VALUE"""),"US")</f>
        <v>US</v>
      </c>
      <c r="C25" s="3" t="str">
        <f>IFERROR(__xludf.DUMMYFUNCTION("""COMPUTED_VALUE"""),"brooklinen.com")</f>
        <v>brooklinen.com</v>
      </c>
      <c r="D25" s="1" t="str">
        <f>IFERROR(__xludf.DUMMYFUNCTION("""COMPUTED_VALUE"""),"*, AU, BE, CA, CH, CZ, DE, DK, FR, GB, HK, IE, IL, JP, KR, LI, LU, MO, MX, NL, NZ, SE, SG, UM, US")</f>
        <v>*, AU, BE, CA, CH, CZ, DE, DK, FR, GB, HK, IE, IL, JP, KR, LI, LU, MO, MX, NL, NZ, SE, SG, UM, US</v>
      </c>
      <c r="E25" s="2" t="str">
        <f>IFERROR(__xludf.DUMMYFUNCTION("""COMPUTED_VALUE"""),"Super-Plush Turkish Cotton Hand Towels Set of 2 - Aloe")</f>
        <v>Super-Plush Turkish Cotton Hand Towels Set of 2 - Aloe</v>
      </c>
      <c r="F25" s="2" t="str">
        <f>IFERROR(__xludf.DUMMYFUNCTION("""COMPUTED_VALUE"""),"42950127452250")</f>
        <v>42950127452250</v>
      </c>
      <c r="G25" s="2">
        <f>IFERROR(__xludf.DUMMYFUNCTION("""COMPUTED_VALUE"""),33.0)</f>
        <v>33</v>
      </c>
      <c r="H25" s="2" t="str">
        <f>IFERROR(__xludf.DUMMYFUNCTION("""COMPUTED_VALUE"""),"USD")</f>
        <v>USD</v>
      </c>
      <c r="I25" s="5" t="str">
        <f>IFERROR(__xludf.DUMMYFUNCTION("""COMPUTED_VALUE"""),"https://www.brooklinen.com/cart/42950127452250:1?attributes[click_id]=example_click_id")</f>
        <v>https://www.brooklinen.com/cart/42950127452250:1?attributes[click_id]=example_click_id</v>
      </c>
    </row>
    <row r="26">
      <c r="A26" s="1" t="str">
        <f>IFERROR(__xludf.DUMMYFUNCTION("""COMPUTED_VALUE"""),"Books &amp; Stationery")</f>
        <v>Books &amp; Stationery</v>
      </c>
      <c r="B26" s="1" t="str">
        <f>IFERROR(__xludf.DUMMYFUNCTION("""COMPUTED_VALUE"""),"SG")</f>
        <v>SG</v>
      </c>
      <c r="C26" s="3" t="str">
        <f>IFERROR(__xludf.DUMMYFUNCTION("""COMPUTED_VALUE"""),"byndartisan.com")</f>
        <v>byndartisan.com</v>
      </c>
      <c r="D26" s="1" t="str">
        <f>IFERROR(__xludf.DUMMYFUNCTION("""COMPUTED_VALUE"""),"*, AD, AE, AF, AG, AI, AL, AM, AR, AT, AU, AW, AX, AZ, BA, BB, BD, BE, BG, BH, BL, BM, BN, BO, BQ, BR, BS, BT, BZ, CA, CC, CH, CK, CL, CN, CO, CR, CW, CX, CY, CZ, DE, DK, DM, DO, EC, EE, ES, FI, FJ, FK, FO, FR, GB, GD, GE, GF, GG, GI, GL, GP, GR, GS, GT, "&amp;"GY, HK, HN, HR, HT, HU, ID, IE, IL, IM, IN, IO, IQ, IS, IT, JE, JM, JO, JP, KG, KH, KI, KN, KR, KW, KY, KZ, LA, LB, LC, LI, LK, LT, LU, LV, MC, MD, ME, MF, MK, MM, MN, MO, MQ, MS, MT, MV, MX, MY, NC, NF, NI, NL, NO, NP, NR, NU, NZ, OM, PA, PE, PF, PG, PH,"&amp;" PK, PL, PM, PN, PS, PT, PY, QA, RE, RO, RS, SA, SB, SE, SG, SI, SJ, SK, SM, SR, SV, SX, TC, TF, TH, TJ, TK, TL, TM, TO, TR, TT, TV, TW, UA, UM, US, UY, UZ, VA, VC, VE, VG, VN, VU, WF, WS, XK, YE, YT")</f>
        <v>*, AD, AE, AF, AG, AI, AL, AM, AR, AT, AU, AW, AX, AZ, BA, BB, BD, BE, BG, BH, BL, BM, BN, BO, BQ, BR, BS, BT, BZ, CA, CC, CH, CK, CL, CN, CO, CR, CW, CX, CY, CZ, DE, DK, DM, DO, EC, EE, ES, FI, FJ, FK, FO, FR, GB, GD, GE, GF, GG, GI, GL, GP, GR, GS, GT, GY, HK, HN, HR, HT, HU, ID, IE, IL, IM, IN, IO, IQ, IS, IT, JE, JM, JO, JP, KG, KH, KI, KN, KR, KW, KY, KZ, LA, LB, LC, LI, LK, LT, LU, LV, MC, MD, ME, MF, MK, MM, MN, MO, MQ, MS, MT, MV, MX, MY, NC, NF, NI, NL, NO, NP, NR, NU, NZ, OM, PA, PE, PF, PG, PH, PK, PL, PM, PN, PS, PT, PY, QA, RE, RO, RS, SA, SB, SE, SG, SI, SJ, SK, SM, SR, SV, SX, TC, TF, TH, TJ, TK, TL, TM, TO, TR, TT, TV, TW, UA, UM, US, UY, UZ, VA, VC, VE, VG, VN, VU, WF, WS, XK, YE, YT</v>
      </c>
      <c r="E26" s="2" t="str">
        <f>IFERROR(__xludf.DUMMYFUNCTION("""COMPUTED_VALUE"""),"Wabisabi Luggage Tag - Brown/Oat")</f>
        <v>Wabisabi Luggage Tag - Brown/Oat</v>
      </c>
      <c r="F26" s="2" t="str">
        <f>IFERROR(__xludf.DUMMYFUNCTION("""COMPUTED_VALUE"""),"44510152458282")</f>
        <v>44510152458282</v>
      </c>
      <c r="G26" s="2">
        <f>IFERROR(__xludf.DUMMYFUNCTION("""COMPUTED_VALUE"""),85.0)</f>
        <v>85</v>
      </c>
      <c r="H26" s="2" t="str">
        <f>IFERROR(__xludf.DUMMYFUNCTION("""COMPUTED_VALUE"""),"SGD")</f>
        <v>SGD</v>
      </c>
      <c r="I26" s="5" t="str">
        <f>IFERROR(__xludf.DUMMYFUNCTION("""COMPUTED_VALUE"""),"https://www.byndartisan.com/cart/44510152458282:1?attributes[click_id]=example_click_id")</f>
        <v>https://www.byndartisan.com/cart/44510152458282:1?attributes[click_id]=example_click_id</v>
      </c>
    </row>
    <row r="27">
      <c r="A27" s="1" t="str">
        <f>IFERROR(__xludf.DUMMYFUNCTION("""COMPUTED_VALUE"""),"Grocery &amp; Pantry")</f>
        <v>Grocery &amp; Pantry</v>
      </c>
      <c r="B27" s="1" t="str">
        <f>IFERROR(__xludf.DUMMYFUNCTION("""COMPUTED_VALUE"""),"SG")</f>
        <v>SG</v>
      </c>
      <c r="C27" s="3" t="str">
        <f>IFERROR(__xludf.DUMMYFUNCTION("""COMPUTED_VALUE"""),"camelnuts.com")</f>
        <v>camelnuts.com</v>
      </c>
      <c r="D27" s="1" t="str">
        <f>IFERROR(__xludf.DUMMYFUNCTION("""COMPUTED_VALUE"""),"SG")</f>
        <v>SG</v>
      </c>
      <c r="E27" s="2" t="str">
        <f>IFERROR(__xludf.DUMMYFUNCTION("""COMPUTED_VALUE"""),"Muruku Fine 1kg")</f>
        <v>Muruku Fine 1kg</v>
      </c>
      <c r="F27" s="2" t="str">
        <f>IFERROR(__xludf.DUMMYFUNCTION("""COMPUTED_VALUE"""),"49695366381853")</f>
        <v>49695366381853</v>
      </c>
      <c r="G27" s="2">
        <f>IFERROR(__xludf.DUMMYFUNCTION("""COMPUTED_VALUE"""),8.0)</f>
        <v>8</v>
      </c>
      <c r="H27" s="2" t="str">
        <f>IFERROR(__xludf.DUMMYFUNCTION("""COMPUTED_VALUE"""),"SGD")</f>
        <v>SGD</v>
      </c>
      <c r="I27" s="5" t="str">
        <f>IFERROR(__xludf.DUMMYFUNCTION("""COMPUTED_VALUE"""),"https://camelnuts.com/cart/49695366381853:1?attributes[click_id]=example_click_id")</f>
        <v>https://camelnuts.com/cart/49695366381853:1?attributes[click_id]=example_click_id</v>
      </c>
    </row>
    <row r="28">
      <c r="A28" s="1" t="str">
        <f>IFERROR(__xludf.DUMMYFUNCTION("""COMPUTED_VALUE"""),"Coffee &amp; Tea")</f>
        <v>Coffee &amp; Tea</v>
      </c>
      <c r="B28" s="1" t="str">
        <f>IFERROR(__xludf.DUMMYFUNCTION("""COMPUTED_VALUE"""),"CA")</f>
        <v>CA</v>
      </c>
      <c r="C28" s="3" t="str">
        <f>IFERROR(__xludf.DUMMYFUNCTION("""COMPUTED_VALUE"""),"coffeeaddicts.ca")</f>
        <v>coffeeaddicts.ca</v>
      </c>
      <c r="D28" s="1" t="str">
        <f>IFERROR(__xludf.DUMMYFUNCTION("""COMPUTED_VALUE"""),"*, CA, US")</f>
        <v>*, CA, US</v>
      </c>
      <c r="E28" s="2" t="str">
        <f>IFERROR(__xludf.DUMMYFUNCTION("""COMPUTED_VALUE"""),"Breville Steam Wand Cleaner")</f>
        <v>Breville Steam Wand Cleaner</v>
      </c>
      <c r="F28" s="2" t="str">
        <f>IFERROR(__xludf.DUMMYFUNCTION("""COMPUTED_VALUE"""),"45193624453372")</f>
        <v>45193624453372</v>
      </c>
      <c r="G28" s="2">
        <f>IFERROR(__xludf.DUMMYFUNCTION("""COMPUTED_VALUE"""),19.99)</f>
        <v>19.99</v>
      </c>
      <c r="H28" s="2" t="str">
        <f>IFERROR(__xludf.DUMMYFUNCTION("""COMPUTED_VALUE"""),"CAD")</f>
        <v>CAD</v>
      </c>
      <c r="I28" s="5" t="str">
        <f>IFERROR(__xludf.DUMMYFUNCTION("""COMPUTED_VALUE"""),"https://coffeeaddicts.ca/cart/45193624453372:1?attributes[click_id]=example_click_id")</f>
        <v>https://coffeeaddicts.ca/cart/45193624453372:1?attributes[click_id]=example_click_id</v>
      </c>
    </row>
    <row r="29">
      <c r="A29" s="1" t="str">
        <f>IFERROR(__xludf.DUMMYFUNCTION("""COMPUTED_VALUE"""),"Coffee &amp; Tea")</f>
        <v>Coffee &amp; Tea</v>
      </c>
      <c r="B29" s="1" t="str">
        <f>IFERROR(__xludf.DUMMYFUNCTION("""COMPUTED_VALUE"""),"US")</f>
        <v>US</v>
      </c>
      <c r="C29" s="3" t="str">
        <f>IFERROR(__xludf.DUMMYFUNCTION("""COMPUTED_VALUE"""),"coffeeam.com")</f>
        <v>coffeeam.com</v>
      </c>
      <c r="D29" s="1" t="str">
        <f>IFERROR(__xludf.DUMMYFUNCTION("""COMPUTED_VALUE"""),"US")</f>
        <v>US</v>
      </c>
      <c r="E29" s="2" t="str">
        <f>IFERROR(__xludf.DUMMYFUNCTION("""COMPUTED_VALUE"""),"Freedom Blend Coffee - 0.5LB / Whole Bean")</f>
        <v>Freedom Blend Coffee - 0.5LB / Whole Bean</v>
      </c>
      <c r="F29" s="2" t="str">
        <f>IFERROR(__xludf.DUMMYFUNCTION("""COMPUTED_VALUE"""),"46349221626053")</f>
        <v>46349221626053</v>
      </c>
      <c r="G29" s="2">
        <f>IFERROR(__xludf.DUMMYFUNCTION("""COMPUTED_VALUE"""),11.95)</f>
        <v>11.95</v>
      </c>
      <c r="H29" s="2" t="str">
        <f>IFERROR(__xludf.DUMMYFUNCTION("""COMPUTED_VALUE"""),"USD")</f>
        <v>USD</v>
      </c>
      <c r="I29" s="5" t="str">
        <f>IFERROR(__xludf.DUMMYFUNCTION("""COMPUTED_VALUE"""),"https://www.coffeeam.com/cart/46349221626053:1?attributes[click_id]=example_click_id")</f>
        <v>https://www.coffeeam.com/cart/46349221626053:1?attributes[click_id]=example_click_id</v>
      </c>
    </row>
    <row r="30">
      <c r="A30" s="1" t="str">
        <f>IFERROR(__xludf.DUMMYFUNCTION("""COMPUTED_VALUE"""),"Fashion &amp; Apparel")</f>
        <v>Fashion &amp; Apparel</v>
      </c>
      <c r="B30" s="1" t="str">
        <f>IFERROR(__xludf.DUMMYFUNCTION("""COMPUTED_VALUE"""),"US")</f>
        <v>US</v>
      </c>
      <c r="C30" s="3" t="str">
        <f>IFERROR(__xludf.DUMMYFUNCTION("""COMPUTED_VALUE"""),"coinbaseshop.com")</f>
        <v>coinbaseshop.com</v>
      </c>
      <c r="D30" s="1" t="str">
        <f>IFERROR(__xludf.DUMMYFUNCTION("""COMPUTED_VALUE"""),"AC, AD, AE, AF, AG, AI, AL, AM, AO, AR, AT, AU, AW, AX, AZ, BA, BB, BD, BE, BF, BG, BH, BI, BJ, BL, BM, BN, BO, BQ, BR, BS, BT, BW, BY, BZ, CA, CC, CD, CF, CG, CH, CI, CK, CL, CM, CN, CO, CR, CV, CW, CX, CY, CZ, DE, DJ, DK, DM, DO, DZ, EC, EE, EG, EH, ER,"&amp;" ES, ET, FI, FJ, FK, FO, FR, GA, GB, GD, GE, GF, GG, GH, GI, GL, GM, GN, GP, GQ, GR, GS, GT, GW, GY, HK, HN, HR, HT, HU, ID, IE, IL, IM, IN, IO, IQ, IS, IT, JE, JM, JO, JP, KE, KG, KH, KI, KM, KN, KR, KW, KY, KZ, LA, LB, LC, LI, LK, LR, LS, LT, LU, LV, LY"&amp;", MA, MC, MD, ME, MF, MG, MK, ML, MM, MN, MO, MQ, MR, MS, MT, MU, MV, MW, MX, MY, MZ, NA, NC, NE, NF, NG, NI, NL, NO, NP, NR, NU, NZ, OM, PA, PE, PF, PG, PH, PK, PL, PM, PN, PS, PT, PY, QA, RE, RO, RS, RU, RW, SA, SB, SC, SD, SE, SG, SH, SI, SJ, SK, SL, S"&amp;"M, SN, SO, SR, SS, ST, SV, SX, SZ, TA, TC, TD, TF, TG, TH, TJ, TK, TL, TM, TN, TO, TR, TT, TV, TW, TZ, UA, UG, UM, US, UY, UZ, VA, VC, VE, VG, VN, VU, WF, WS, XK, YE, YT, ZA, ZM, ZW")</f>
        <v>AC, AD, AE, AF, AG, AI, AL, AM, AO, AR, AT, AU, AW, AX, AZ, BA, BB, BD, BE, BF, BG, BH, BI, BJ, BL, BM, BN, BO, BQ, BR, BS, BT, BW, BY, BZ, CA, CC, CD, CF, CG, CH, CI, CK, CL, CM, CN, CO, CR, CV, CW, CX, CY, CZ, DE, DJ, DK, DM, DO, DZ, EC, EE, EG, EH, ER, ES, ET, FI, FJ, FK, FO, FR, GA, GB, GD, GE, GF, GG, GH, GI, GL, GM, GN, GP, GQ, GR, GS, GT, GW, GY, HK, HN, HR, HT, HU, ID, IE, IL, IM, IN, IO, IQ, IS, IT, JE, JM, JO, JP, KE, KG, KH, KI, KM, KN, KR, KW, KY, KZ, LA, LB, LC, LI, LK, LR, LS, LT, LU, LV, LY, MA, MC, MD, ME, MF, MG, MK, ML, MM, MN, MO, MQ, MR, MS, MT, MU, MV, MW, MX, MY, MZ, NA, NC, NE, NF, NG, NI, NL, NO, NP, NR, NU, NZ, OM, PA, PE, PF, PG, PH, PK, PL, PM, PN, PS, PT, PY, QA, RE, RO, RS, RU, RW, SA, SB, SC, SD, SE, SG, SH, SI, SJ, SK, SL, SM, SN, SO, SR, SS, ST, SV, SX, SZ, TA, TC, TD, TF, TG, TH, TJ, TK, TL, TM, TN, TO, TR, TT, TV, TW, TZ, UA, UG, UM, US, UY, UZ, VA, VC, VE, VG, VN, VU, WF, WS, XK, YE, YT, ZA, ZM, ZW</v>
      </c>
      <c r="E30" s="2" t="str">
        <f>IFERROR(__xludf.DUMMYFUNCTION("""COMPUTED_VALUE"""),"Coinbase Heavy Metal Hat")</f>
        <v>Coinbase Heavy Metal Hat</v>
      </c>
      <c r="F30" s="2" t="str">
        <f>IFERROR(__xludf.DUMMYFUNCTION("""COMPUTED_VALUE"""),"50600348877106")</f>
        <v>50600348877106</v>
      </c>
      <c r="G30" s="2">
        <f>IFERROR(__xludf.DUMMYFUNCTION("""COMPUTED_VALUE"""),30.0)</f>
        <v>30</v>
      </c>
      <c r="H30" s="2" t="str">
        <f>IFERROR(__xludf.DUMMYFUNCTION("""COMPUTED_VALUE"""),"USD")</f>
        <v>USD</v>
      </c>
      <c r="I30" s="5" t="str">
        <f>IFERROR(__xludf.DUMMYFUNCTION("""COMPUTED_VALUE"""),"https://coinbaseshop.com/cart/50600348877106:1?attributes[click_id]=example_click_id")</f>
        <v>https://coinbaseshop.com/cart/50600348877106:1?attributes[click_id]=example_click_id</v>
      </c>
    </row>
    <row r="31">
      <c r="A31" s="1" t="str">
        <f>IFERROR(__xludf.DUMMYFUNCTION("""COMPUTED_VALUE"""),"Coffee &amp; Tea")</f>
        <v>Coffee &amp; Tea</v>
      </c>
      <c r="B31" s="1" t="str">
        <f>IFERROR(__xludf.DUMMYFUNCTION("""COMPUTED_VALUE"""),"SG")</f>
        <v>SG</v>
      </c>
      <c r="C31" s="3" t="str">
        <f>IFERROR(__xludf.DUMMYFUNCTION("""COMPUTED_VALUE"""),"commonmancoffeeroasters.com")</f>
        <v>commonmancoffeeroasters.com</v>
      </c>
      <c r="D31" s="1" t="str">
        <f>IFERROR(__xludf.DUMMYFUNCTION("""COMPUTED_VALUE"""),"SG")</f>
        <v>SG</v>
      </c>
      <c r="E31" s="2" t="str">
        <f>IFERROR(__xludf.DUMMYFUNCTION("""COMPUTED_VALUE"""),"Yolan Tirta Sulawesi, Indonesia - 250g / Filter Roast / Whole Beans")</f>
        <v>Yolan Tirta Sulawesi, Indonesia - 250g / Filter Roast / Whole Beans</v>
      </c>
      <c r="F31" s="2" t="str">
        <f>IFERROR(__xludf.DUMMYFUNCTION("""COMPUTED_VALUE"""),"45609133211757")</f>
        <v>45609133211757</v>
      </c>
      <c r="G31" s="2">
        <f>IFERROR(__xludf.DUMMYFUNCTION("""COMPUTED_VALUE"""),23.0)</f>
        <v>23</v>
      </c>
      <c r="H31" s="2" t="str">
        <f>IFERROR(__xludf.DUMMYFUNCTION("""COMPUTED_VALUE"""),"SGD")</f>
        <v>SGD</v>
      </c>
      <c r="I31" s="5" t="str">
        <f>IFERROR(__xludf.DUMMYFUNCTION("""COMPUTED_VALUE"""),"https://commonmancoffeeroasters.com/cart/45609133211757:1?attributes[click_id]=example_click_id")</f>
        <v>https://commonmancoffeeroasters.com/cart/45609133211757:1?attributes[click_id]=example_click_id</v>
      </c>
    </row>
    <row r="32">
      <c r="A32" s="1" t="str">
        <f>IFERROR(__xludf.DUMMYFUNCTION("""COMPUTED_VALUE"""),"Computers &amp; Electronics")</f>
        <v>Computers &amp; Electronics</v>
      </c>
      <c r="B32" s="1" t="str">
        <f>IFERROR(__xludf.DUMMYFUNCTION("""COMPUTED_VALUE"""),"US")</f>
        <v>US</v>
      </c>
      <c r="C32" s="3" t="str">
        <f>IFERROR(__xludf.DUMMYFUNCTION("""COMPUTED_VALUE"""),"computerexchange.com")</f>
        <v>computerexchange.com</v>
      </c>
      <c r="D32" s="1" t="str">
        <f>IFERROR(__xludf.DUMMYFUNCTION("""COMPUTED_VALUE"""),"AE, AT, AU, BE, CA, CH, CZ, DE, DK, ES, FI, FR, GB, HK, IE, IL, IT, JP, KR, MY, NL, NO, NZ, PL, PT, SE, SG, US")</f>
        <v>AE, AT, AU, BE, CA, CH, CZ, DE, DK, ES, FI, FR, GB, HK, IE, IL, IT, JP, KR, MY, NL, NO, NZ, PL, PT, SE, SG, US</v>
      </c>
      <c r="E32" s="2" t="str">
        <f>IFERROR(__xludf.DUMMYFUNCTION("""COMPUTED_VALUE"""),"Optiplex SFF 7010")</f>
        <v>Optiplex SFF 7010</v>
      </c>
      <c r="F32" s="2" t="str">
        <f>IFERROR(__xludf.DUMMYFUNCTION("""COMPUTED_VALUE"""),"48605095461019")</f>
        <v>48605095461019</v>
      </c>
      <c r="G32" s="2">
        <f>IFERROR(__xludf.DUMMYFUNCTION("""COMPUTED_VALUE"""),699.99)</f>
        <v>699.99</v>
      </c>
      <c r="H32" s="2" t="str">
        <f>IFERROR(__xludf.DUMMYFUNCTION("""COMPUTED_VALUE"""),"USD")</f>
        <v>USD</v>
      </c>
      <c r="I32" s="5" t="str">
        <f>IFERROR(__xludf.DUMMYFUNCTION("""COMPUTED_VALUE"""),"https://computerexchange.com/cart/48605095461019:1?attributes[click_id]=example_click_id")</f>
        <v>https://computerexchange.com/cart/48605095461019:1?attributes[click_id]=example_click_id</v>
      </c>
    </row>
    <row r="33">
      <c r="A33" s="1" t="str">
        <f>IFERROR(__xludf.DUMMYFUNCTION("""COMPUTED_VALUE"""),"Maker &amp; DIY Electronics")</f>
        <v>Maker &amp; DIY Electronics</v>
      </c>
      <c r="B33" s="1" t="str">
        <f>IFERROR(__xludf.DUMMYFUNCTION("""COMPUTED_VALUE"""),"AU")</f>
        <v>AU</v>
      </c>
      <c r="C33" s="3" t="str">
        <f>IFERROR(__xludf.DUMMYFUNCTION("""COMPUTED_VALUE"""),"cubictech.com.au")</f>
        <v>cubictech.com.au</v>
      </c>
      <c r="D33" s="1" t="str">
        <f>IFERROR(__xludf.DUMMYFUNCTION("""COMPUTED_VALUE"""),"AT, AU, BE, BG, CA, CH, CN, CY, CZ, DE, DK, ES, FI, FR, GB, GR, HK, HR, HU, ID, IE, IT, JP, KR, LI, LU, NL, NO, NZ, PT, RO, SE, SG, SI, SK, TH, TW, US")</f>
        <v>AT, AU, BE, BG, CA, CH, CN, CY, CZ, DE, DK, ES, FI, FR, GB, GR, HK, HR, HU, ID, IE, IT, JP, KR, LI, LU, NL, NO, NZ, PT, RO, SE, SG, SI, SK, TH, TW, US</v>
      </c>
      <c r="E33" s="2" t="str">
        <f>IFERROR(__xludf.DUMMYFUNCTION("""COMPUTED_VALUE"""),"Micro Swiss FlowTech Hyper-CHT Nozzle - 0.4 mm")</f>
        <v>Micro Swiss FlowTech Hyper-CHT Nozzle - 0.4 mm</v>
      </c>
      <c r="F33" s="2" t="str">
        <f>IFERROR(__xludf.DUMMYFUNCTION("""COMPUTED_VALUE"""),"53918466703643")</f>
        <v>53918466703643</v>
      </c>
      <c r="G33" s="2">
        <f>IFERROR(__xludf.DUMMYFUNCTION("""COMPUTED_VALUE"""),59.95)</f>
        <v>59.95</v>
      </c>
      <c r="H33" s="2" t="str">
        <f>IFERROR(__xludf.DUMMYFUNCTION("""COMPUTED_VALUE"""),"AUD")</f>
        <v>AUD</v>
      </c>
      <c r="I33" s="5" t="str">
        <f>IFERROR(__xludf.DUMMYFUNCTION("""COMPUTED_VALUE"""),"https://cubictech.com.au/cart/53918466703643:1?attributes[click_id]=example_click_id")</f>
        <v>https://cubictech.com.au/cart/53918466703643:1?attributes[click_id]=example_click_id</v>
      </c>
    </row>
    <row r="34">
      <c r="A34" s="1" t="str">
        <f>IFERROR(__xludf.DUMMYFUNCTION("""COMPUTED_VALUE"""),"Coffee &amp; Tea")</f>
        <v>Coffee &amp; Tea</v>
      </c>
      <c r="B34" s="1" t="str">
        <f>IFERROR(__xludf.DUMMYFUNCTION("""COMPUTED_VALUE"""),"US")</f>
        <v>US</v>
      </c>
      <c r="C34" s="3" t="str">
        <f>IFERROR(__xludf.DUMMYFUNCTION("""COMPUTED_VALUE"""),"deathwishcoffee.com")</f>
        <v>deathwishcoffee.com</v>
      </c>
      <c r="D34" s="1" t="str">
        <f>IFERROR(__xludf.DUMMYFUNCTION("""COMPUTED_VALUE"""),"AD, AE, AF, AG, AI, AL, AM, AO, AR, AT, AU, AW, AX, AZ, BA, BB, BD, BE, BF, BG, BH, BI, BJ, BL, BM, BN, BO, BS, BT, BW, BY, BZ, CA, CC, CD, CF, CG, CH, CI, CK, CL, CM, CN, CO, CR, CV, CW, CX, CY, CZ, DE, DJ, DK, DM, DO, EC, EE, EG, EH, ER, ES, ET, FI, FJ,"&amp;" FK, FO, FR, GA, GB, GD, GE, GF, GG, GH, GI, GL, GM, GN, GP, GQ, GR, GT, GW, GY, HK, HN, HR, HT, HU, ID, IE, IL, IM, IN, IO, IS, IT, JE, JM, JO, JP, KE, KG, KH, KI, KM, KN, KR, KW, KY, KZ, LA, LB, LC, LI, LK, LR, LS, LT, LU, LV, LY, MC, MD, ME, MF, MG, MK"&amp;", ML, MM, MN, MO, MQ, MR, MS, MT, MU, MV, MW, MX, MY, MZ, NA, NC, NE, NF, NG, NI, NL, NO, NP, NR, NU, NZ, OM, PA, PE, PF, PG, PH, PK, PL, PM, PN, PS, PT, PY, QA, RE, RO, RS, RW, SA, SB, SC, SD, SE, SG, SH, SI, SJ, SK, SL, SM, SN, SO, SR, ST, SV, SX, SZ, T"&amp;"C, TD, TG, TH, TJ, TK, TL, TM, TO, TR, TT, TV, TW, TZ, UA, UG, UM, US, UY, UZ, VA, VC, VG, VN, VU, WF, WS, XK, YE, YT, ZA, ZM, ZW")</f>
        <v>AD, AE, AF, AG, AI, AL, AM, AO, AR, AT, AU, AW, AX, AZ, BA, BB, BD, BE, BF, BG, BH, BI, BJ, BL, BM, BN, BO, BS, BT, BW, BY, BZ, CA, CC, CD, CF, CG, CH, CI, CK, CL, CM, CN, CO, CR, CV, CW, CX, CY, CZ, DE, DJ, DK, DM, DO, EC, EE, EG, EH, ER, ES, ET, FI, FJ, FK, FO, FR, GA, GB, GD, GE, GF, GG, GH, GI, GL, GM, GN, GP, GQ, GR, GT, GW, GY, HK, HN, HR, HT, HU, ID, IE, IL, IM, IN, IO, IS, IT, JE, JM, JO, JP, KE, KG, KH, KI, KM, KN, KR, KW, KY, KZ, LA, LB, LC, LI, LK, LR, LS, LT, LU, LV, LY, MC, MD, ME, MF, MG, MK, ML, MM, MN, MO, MQ, MR, MS, MT, MU, MV, MW, MX, MY, MZ, NA, NC, NE, NF, NG, NI, NL, NO, NP, NR, NU, NZ, OM, PA, PE, PF, PG, PH, PK, PL, PM, PN, PS, PT, PY, QA, RE, RO, RS, RW, SA, SB, SC, SD, SE, SG, SH, SI, SJ, SK, SL, SM, SN, SO, SR, ST, SV, SX, SZ, TC, TD, TG, TH, TJ, TK, TL, TM, TO, TR, TT, TV, TW, TZ, UA, UG, UM, US, UY, UZ, VA, VC, VG, VN, VU, WF, WS, XK, YE, YT, ZA, ZM, ZW</v>
      </c>
      <c r="E34" s="2" t="str">
        <f>IFERROR(__xludf.DUMMYFUNCTION("""COMPUTED_VALUE"""),"White Chocolate Pistachio Coffee - 1 bag")</f>
        <v>White Chocolate Pistachio Coffee - 1 bag</v>
      </c>
      <c r="F34" s="2" t="str">
        <f>IFERROR(__xludf.DUMMYFUNCTION("""COMPUTED_VALUE"""),"42380283346999")</f>
        <v>42380283346999</v>
      </c>
      <c r="G34" s="2">
        <f>IFERROR(__xludf.DUMMYFUNCTION("""COMPUTED_VALUE"""),13.99)</f>
        <v>13.99</v>
      </c>
      <c r="H34" s="2" t="str">
        <f>IFERROR(__xludf.DUMMYFUNCTION("""COMPUTED_VALUE"""),"USD")</f>
        <v>USD</v>
      </c>
      <c r="I34" s="5" t="str">
        <f>IFERROR(__xludf.DUMMYFUNCTION("""COMPUTED_VALUE"""),"https://www.deathwishcoffee.com/cart/42380283346999:1?attributes[click_id]=example_click_id")</f>
        <v>https://www.deathwishcoffee.com/cart/42380283346999:1?attributes[click_id]=example_click_id</v>
      </c>
    </row>
    <row r="35">
      <c r="A35" s="1" t="str">
        <f>IFERROR(__xludf.DUMMYFUNCTION("""COMPUTED_VALUE"""),"Maker &amp; DIY Electronics")</f>
        <v>Maker &amp; DIY Electronics</v>
      </c>
      <c r="B35" s="1" t="str">
        <f>IFERROR(__xludf.DUMMYFUNCTION("""COMPUTED_VALUE"""),"CA")</f>
        <v>CA</v>
      </c>
      <c r="C35" s="3" t="str">
        <f>IFERROR(__xludf.DUMMYFUNCTION("""COMPUTED_VALUE"""),"digitmakers.ca")</f>
        <v>digitmakers.ca</v>
      </c>
      <c r="D35" s="1" t="str">
        <f>IFERROR(__xludf.DUMMYFUNCTION("""COMPUTED_VALUE"""),"AD, AG, AI, AL, AM, AR, AT, AU, AW, AX, BA, BB, BE, BG, BH, BO, BQ, BR, BS, BY, BZ, CA, CH, CK, CL, CO, CR, CY, CZ, DE, DK, EC, EE, ES, FI, FK, FO, FR, GB, GE, GF, GG, GI, GL, GP, GQ, GR, GS, GY, HK, HR, HU, ID, IE, IL, IM, IN, IQ, IS, IT, JE, JO, KW, LB,"&amp;" LI, LT, LU, LV, MC, MD, ME, MK, MT, MX, MY, NL, NO, NZ, OM, PE, PH, PL, PS, PT, PY, QA, RE, RO, RS, RU, SA, SD, SE, SG, SI, SJ, SK, SM, SN, SR, SS, TF, TH, TN, TR, TZ, UA, US, UY, VA, VE, VG, WF, XK, YT, ZA")</f>
        <v>AD, AG, AI, AL, AM, AR, AT, AU, AW, AX, BA, BB, BE, BG, BH, BO, BQ, BR, BS, BY, BZ, CA, CH, CK, CL, CO, CR, CY, CZ, DE, DK, EC, EE, ES, FI, FK, FO, FR, GB, GE, GF, GG, GI, GL, GP, GQ, GR, GS, GY, HK, HR, HU, ID, IE, IL, IM, IN, IQ, IS, IT, JE, JO, KW, LB, LI, LT, LU, LV, MC, MD, ME, MK, MT, MX, MY, NL, NO, NZ, OM, PE, PH, PL, PS, PT, PY, QA, RE, RO, RS, RU, SA, SD, SE, SG, SI, SJ, SK, SM, SN, SR, SS, TF, TH, TN, TR, TZ, UA, US, UY, VA, VE, VG, WF, XK, YT, ZA</v>
      </c>
      <c r="E35" s="2" t="str">
        <f>IFERROR(__xludf.DUMMYFUNCTION("""COMPUTED_VALUE"""),"Prusa Accelerometer Cables")</f>
        <v>Prusa Accelerometer Cables</v>
      </c>
      <c r="F35" s="2" t="str">
        <f>IFERROR(__xludf.DUMMYFUNCTION("""COMPUTED_VALUE"""),"67588566679782")</f>
        <v>67588566679782</v>
      </c>
      <c r="G35" s="2">
        <f>IFERROR(__xludf.DUMMYFUNCTION("""COMPUTED_VALUE"""),21.99)</f>
        <v>21.99</v>
      </c>
      <c r="H35" s="2" t="str">
        <f>IFERROR(__xludf.DUMMYFUNCTION("""COMPUTED_VALUE"""),"CAD")</f>
        <v>CAD</v>
      </c>
      <c r="I35" s="5" t="str">
        <f>IFERROR(__xludf.DUMMYFUNCTION("""COMPUTED_VALUE"""),"https://www.digitmakers.ca/cart/67588566679782:1?attributes[click_id]=example_click_id")</f>
        <v>https://www.digitmakers.ca/cart/67588566679782:1?attributes[click_id]=example_click_id</v>
      </c>
    </row>
    <row r="36">
      <c r="A36" s="1" t="str">
        <f>IFERROR(__xludf.DUMMYFUNCTION("""COMPUTED_VALUE"""),"Computers &amp; Electronics")</f>
        <v>Computers &amp; Electronics</v>
      </c>
      <c r="B36" s="1" t="str">
        <f>IFERROR(__xludf.DUMMYFUNCTION("""COMPUTED_VALUE"""),"US")</f>
        <v>US</v>
      </c>
      <c r="C36" s="3" t="str">
        <f>IFERROR(__xludf.DUMMYFUNCTION("""COMPUTED_VALUE"""),"divinikey.com")</f>
        <v>divinikey.com</v>
      </c>
      <c r="D36" s="1" t="str">
        <f>IFERROR(__xludf.DUMMYFUNCTION("""COMPUTED_VALUE"""),"*, AC, AD, AE, AF, AG, AI, AL, AM, AO, AR, AT, AU, AW, AX, AZ, BA, BB, BD, BE, BF, BG, BH, BI, BJ, BL, BM, BN, BO, BQ, BR, BS, BT, BW, BY, BZ, CA, CC, CD, CF, CG, CH, CI, CK, CL, CM, CN, CO, CR, CV, CW, CX, CY, CZ, DE, DJ, DK, DM, DO, DZ, EC, EE, EG, EH, "&amp;"ER, ES, ET, FI, FJ, FK, FO, FR, GA, GB, GD, GE, GF, GG, GH, GI, GL, GM, GN, GP, GQ, GR, GS, GT, GW, GY, HK, HN, HR, HT, HU, ID, IE, IL, IM, IN, IO, IQ, IS, IT, JE, JM, JO, JP, KE, KG, KH, KI, KM, KN, KR, KW, KY, KZ, LA, LB, LC, LI, LK, LR, LS, LT, LU, LV,"&amp;" LY, MA, MC, MD, ME, MF, MG, MK, ML, MM, MN, MO, MQ, MR, MS, MT, MU, MV, MW, MX, MY, MZ, NA, NC, NE, NF, NG, NI, NL, NO, NP, NR, NU, NZ, OM, PA, PE, PF, PG, PH, PK, PL, PM, PN, PS, PT, PY, QA, RE, RO, RS, RU, RW, SA, SB, SC, SD, SE, SG, SH, SI, SJ, SK, SL"&amp;", SM, SN, SO, SR, SS, ST, SV, SX, SZ, TA, TC, TD, TF, TG, TH, TJ, TK, TL, TM, TN, TO, TT, TV, TW, TZ, UA, UG, UM, US, UY, UZ, VA, VC, VE, VG, VN, VU, WF, WS, XK, YE, YT, ZA, ZM, ZW")</f>
        <v>*, AC, AD, AE, AF, AG, AI, AL, AM, AO, AR, AT, AU, AW, AX, AZ, BA, BB, BD, BE, BF, BG, BH, BI, BJ, BL, BM, BN, BO, BQ, BR, BS, BT, BW, BY, BZ, CA, CC, CD, CF, CG, CH, CI, CK, CL, CM, CN, CO, CR, CV, CW, CX, CY, CZ, DE, DJ, DK, DM, DO, DZ, EC, EE, EG, EH, ER, ES, ET, FI, FJ, FK, FO, FR, GA, GB, GD, GE, GF, GG, GH, GI, GL, GM, GN, GP, GQ, GR, GS, GT, GW, GY, HK, HN, HR, HT, HU, ID, IE, IL, IM, IN, IO, IQ, IS, IT, JE, JM, JO, JP, KE, KG, KH, KI, KM, KN, KR, KW, KY, KZ, LA, LB, LC, LI, LK, LR, LS, LT, LU, LV, LY, MA, MC, MD, ME, MF, MG, MK, ML, MM, MN, MO, MQ, MR, MS, MT, MU, MV, MW, MX, MY, MZ, NA, NC, NE, NF, NG, NI, NL, NO, NP, NR, NU, NZ, OM, PA, PE, PF, PG, PH, PK, PL, PM, PN, PS, PT, PY, QA, RE, RO, RS, RU, RW, SA, SB, SC, SD, SE, SG, SH, SI, SJ, SK, SL, SM, SN, SO, SR, SS, ST, SV, SX, SZ, TA, TC, TD, TF, TG, TH, TJ, TK, TL, TM, TN, TO, TT, TV, TW, TZ, UA, UG, UM, US, UY, UZ, VA, VC, VE, VG, VN, VU, WF, WS, XK, YE, YT, ZA, ZM, ZW</v>
      </c>
      <c r="E36" s="2" t="str">
        <f>IFERROR(__xludf.DUMMYFUNCTION("""COMPUTED_VALUE"""),"HMX Snowflake Linear Switches - 18 Set")</f>
        <v>HMX Snowflake Linear Switches - 18 Set</v>
      </c>
      <c r="F36" s="2" t="str">
        <f>IFERROR(__xludf.DUMMYFUNCTION("""COMPUTED_VALUE"""),"50536537391169")</f>
        <v>50536537391169</v>
      </c>
      <c r="G36" s="2">
        <f>IFERROR(__xludf.DUMMYFUNCTION("""COMPUTED_VALUE"""),6.3)</f>
        <v>6.3</v>
      </c>
      <c r="H36" s="2" t="str">
        <f>IFERROR(__xludf.DUMMYFUNCTION("""COMPUTED_VALUE"""),"USD")</f>
        <v>USD</v>
      </c>
      <c r="I36" s="5" t="str">
        <f>IFERROR(__xludf.DUMMYFUNCTION("""COMPUTED_VALUE"""),"https://divinikey.com/cart/50536537391169:1?attributes[click_id]=example_click_id")</f>
        <v>https://divinikey.com/cart/50536537391169:1?attributes[click_id]=example_click_id</v>
      </c>
    </row>
    <row r="37">
      <c r="A37" s="1" t="str">
        <f>IFERROR(__xludf.DUMMYFUNCTION("""COMPUTED_VALUE"""),"Computers &amp; Electronics")</f>
        <v>Computers &amp; Electronics</v>
      </c>
      <c r="B37" s="1" t="str">
        <f>IFERROR(__xludf.DUMMYFUNCTION("""COMPUTED_VALUE"""),"HK")</f>
        <v>HK</v>
      </c>
      <c r="C37" s="3" t="str">
        <f>IFERROR(__xludf.DUMMYFUNCTION("""COMPUTED_VALUE"""),"dockcase.com")</f>
        <v>dockcase.com</v>
      </c>
      <c r="D37" s="1" t="str">
        <f>IFERROR(__xludf.DUMMYFUNCTION("""COMPUTED_VALUE"""),"AD, AE, AL, AT, AU, BA, BE, BG, BR, CA, CH, CL, CN, CY, CZ, DE, DK, EE, ES, FI, FR, GB, GL, GR, HK, HR, HU, ID, IE, IN, IS, IT, JP, KR, KW, LI, LT, LU, LV, MC, MD, MO, MT, MX, MY, NL, NO, NZ, PH, PL, PT, QA, RO, RS, SA, SE, SG, SI, SK, SM, TH, TR, TW, US,"&amp;" VA, VN")</f>
        <v>AD, AE, AL, AT, AU, BA, BE, BG, BR, CA, CH, CL, CN, CY, CZ, DE, DK, EE, ES, FI, FR, GB, GL, GR, HK, HR, HU, ID, IE, IN, IS, IT, JP, KR, KW, LI, LT, LU, LV, MC, MD, MO, MT, MX, MY, NL, NO, NZ, PH, PL, PT, QA, RO, RS, SA, SE, SG, SI, SK, SM, TH, TR, TW, US, VA, VN</v>
      </c>
      <c r="E37" s="2" t="str">
        <f>IFERROR(__xludf.DUMMYFUNCTION("""COMPUTED_VALUE"""),"Dockcase Smart USB-C Hub 7-in-1 with M.2 SSD Enclosure - Black")</f>
        <v>Dockcase Smart USB-C Hub 7-in-1 with M.2 SSD Enclosure - Black</v>
      </c>
      <c r="F37" s="2" t="str">
        <f>IFERROR(__xludf.DUMMYFUNCTION("""COMPUTED_VALUE"""),"51181256933688")</f>
        <v>51181256933688</v>
      </c>
      <c r="G37" s="2">
        <f>IFERROR(__xludf.DUMMYFUNCTION("""COMPUTED_VALUE"""),109.99)</f>
        <v>109.99</v>
      </c>
      <c r="H37" s="2" t="str">
        <f>IFERROR(__xludf.DUMMYFUNCTION("""COMPUTED_VALUE"""),"USD")</f>
        <v>USD</v>
      </c>
      <c r="I37" s="5" t="str">
        <f>IFERROR(__xludf.DUMMYFUNCTION("""COMPUTED_VALUE"""),"https://www.dockcase.com/cart/51181256933688:1?attributes[click_id]=example_click_id")</f>
        <v>https://www.dockcase.com/cart/51181256933688:1?attributes[click_id]=example_click_id</v>
      </c>
    </row>
    <row r="38">
      <c r="A38" s="1" t="str">
        <f>IFERROR(__xludf.DUMMYFUNCTION("""COMPUTED_VALUE"""),"Coffee &amp; Tea")</f>
        <v>Coffee &amp; Tea</v>
      </c>
      <c r="B38" s="1" t="str">
        <f>IFERROR(__xludf.DUMMYFUNCTION("""COMPUTED_VALUE"""),"SG")</f>
        <v>SG</v>
      </c>
      <c r="C38" s="3" t="str">
        <f>IFERROR(__xludf.DUMMYFUNCTION("""COMPUTED_VALUE"""),"dutchcolony.sg")</f>
        <v>dutchcolony.sg</v>
      </c>
      <c r="D38" s="1" t="str">
        <f>IFERROR(__xludf.DUMMYFUNCTION("""COMPUTED_VALUE"""),"AC, AD, AE, AF, AG, AI, AL, AM, AO, AR, AT, AU, AW, AX, AZ, BA, BB, BD, BE, BF, BG, BH, BI, BJ, BL, BM, BN, BO, BQ, BR, BS, BT, BW, BY, BZ, CA, CC, CD, CF, CG, CH, CI, CK, CL, CM, CN, CO, CR, CV, CW, CX, CY, CZ, DE, DJ, DK, DM, DO, DZ, EC, EE, EG, EH, ER,"&amp;" ES, ET, FI, FJ, FK, FO, FR, GA, GB, GD, GE, GF, GG, GH, GI, GL, GM, GN, GP, GQ, GR, GS, GT, GW, GY, HK, HN, HR, HT, HU, ID, IE, IL, IM, IN, IO, IQ, IS, IT, JE, JM, JO, JP, KE, KG, KH, KI, KM, KN, KR, KW, KY, KZ, LA, LB, LC, LI, LK, LR, LS, LT, LU, LV, LY"&amp;", MA, MC, MD, ME, MF, MG, MK, ML, MM, MN, MO, MQ, MR, MS, MT, MU, MV, MW, MX, MY, MZ, NA, NC, NE, NF, NG, NI, NL, NO, NP, NR, NU, NZ, OM, PA, PE, PF, PG, PH, PK, PL, PM, PN, PS, PT, PY, QA, RE, RO, RS, RU, RW, SA, SB, SC, SD, SE, SG, SH, SI, SJ, SK, SL, S"&amp;"M, SN, SO, SR, SS, ST, SV, SX, SZ, TA, TC, TD, TF, TG, TH, TJ, TK, TL, TM, TN, TO, TR, TT, TV, TW, TZ, UA, UG, UM, US, UY, UZ, VA, VC, VE, VG, VN, VU, WF, WS, XK, YE, YT, ZA, ZM, ZW")</f>
        <v>AC, AD, AE, AF, AG, AI, AL, AM, AO, AR, AT, AU, AW, AX, AZ, BA, BB, BD, BE, BF, BG, BH, BI, BJ, BL, BM, BN, BO, BQ, BR, BS, BT, BW, BY, BZ, CA, CC, CD, CF, CG, CH, CI, CK, CL, CM, CN, CO, CR, CV, CW, CX, CY, CZ, DE, DJ, DK, DM, DO, DZ, EC, EE, EG, EH, ER, ES, ET, FI, FJ, FK, FO, FR, GA, GB, GD, GE, GF, GG, GH, GI, GL, GM, GN, GP, GQ, GR, GS, GT, GW, GY, HK, HN, HR, HT, HU, ID, IE, IL, IM, IN, IO, IQ, IS, IT, JE, JM, JO, JP, KE, KG, KH, KI, KM, KN, KR, KW, KY, KZ, LA, LB, LC, LI, LK, LR, LS, LT, LU, LV, LY, MA, MC, MD, ME, MF, MG, MK, ML, MM, MN, MO, MQ, MR, MS, MT, MU, MV, MW, MX, MY, MZ, NA, NC, NE, NF, NG, NI, NL, NO, NP, NR, NU, NZ, OM, PA, PE, PF, PG, PH, PK, PL, PM, PN, PS, PT, PY, QA, RE, RO, RS, RU, RW, SA, SB, SC, SD, SE, SG, SH, SI, SJ, SK, SL, SM, SN, SO, SR, SS, ST, SV, SX, SZ, TA, TC, TD, TF, TG, TH, TJ, TK, TL, TM, TN, TO, TR, TT, TV, TW, TZ, UA, UG, UM, US, UY, UZ, VA, VC, VE, VG, VN, VU, WF, WS, XK, YE, YT, ZA, ZM, ZW</v>
      </c>
      <c r="E38" s="2" t="str">
        <f>IFERROR(__xludf.DUMMYFUNCTION("""COMPUTED_VALUE"""),"Gatuyaini - 200g / Whole Bean")</f>
        <v>Gatuyaini - 200g / Whole Bean</v>
      </c>
      <c r="F38" s="2" t="str">
        <f>IFERROR(__xludf.DUMMYFUNCTION("""COMPUTED_VALUE"""),"48922956595353")</f>
        <v>48922956595353</v>
      </c>
      <c r="G38" s="2">
        <f>IFERROR(__xludf.DUMMYFUNCTION("""COMPUTED_VALUE"""),24.0)</f>
        <v>24</v>
      </c>
      <c r="H38" s="2" t="str">
        <f>IFERROR(__xludf.DUMMYFUNCTION("""COMPUTED_VALUE"""),"SGD")</f>
        <v>SGD</v>
      </c>
      <c r="I38" s="5" t="str">
        <f>IFERROR(__xludf.DUMMYFUNCTION("""COMPUTED_VALUE"""),"https://www.dutchcolony.sg/cart/48922956595353:1?attributes[click_id]=example_click_id")</f>
        <v>https://www.dutchcolony.sg/cart/48922956595353:1?attributes[click_id]=example_click_id</v>
      </c>
    </row>
    <row r="39">
      <c r="A39" s="1" t="str">
        <f>IFERROR(__xludf.DUMMYFUNCTION("""COMPUTED_VALUE"""),"Audio &amp; Music")</f>
        <v>Audio &amp; Music</v>
      </c>
      <c r="B39" s="1" t="str">
        <f>IFERROR(__xludf.DUMMYFUNCTION("""COMPUTED_VALUE"""),"US")</f>
        <v>US</v>
      </c>
      <c r="C39" s="3" t="str">
        <f>IFERROR(__xludf.DUMMYFUNCTION("""COMPUTED_VALUE"""),"eddieselectronicsandgadgets.com")</f>
        <v>eddieselectronicsandgadgets.com</v>
      </c>
      <c r="D39" s="1" t="str">
        <f>IFERROR(__xludf.DUMMYFUNCTION("""COMPUTED_VALUE"""),"AE, AT, AU, BE, CA, CH, CZ, DE, DK, ES, FI, FR, GB, HK, IE, IL, IT, JP, KR, MY, NL, NO, NZ, PL, PT, SE, SG, US")</f>
        <v>AE, AT, AU, BE, CA, CH, CZ, DE, DK, ES, FI, FR, GB, HK, IE, IL, IT, JP, KR, MY, NL, NO, NZ, PL, PT, SE, SG, US</v>
      </c>
      <c r="E39" s="2" t="str">
        <f>IFERROR(__xludf.DUMMYFUNCTION("""COMPUTED_VALUE"""),"G1 NEO Gaming Audio Mixer with XLR Mic - Black")</f>
        <v>G1 NEO Gaming Audio Mixer with XLR Mic - Black</v>
      </c>
      <c r="F39" s="2" t="str">
        <f>IFERROR(__xludf.DUMMYFUNCTION("""COMPUTED_VALUE"""),"42605744750676")</f>
        <v>42605744750676</v>
      </c>
      <c r="G39" s="2">
        <f>IFERROR(__xludf.DUMMYFUNCTION("""COMPUTED_VALUE"""),133.3)</f>
        <v>133.3</v>
      </c>
      <c r="H39" s="2" t="str">
        <f>IFERROR(__xludf.DUMMYFUNCTION("""COMPUTED_VALUE"""),"USD")</f>
        <v>USD</v>
      </c>
      <c r="I39" s="5" t="str">
        <f>IFERROR(__xludf.DUMMYFUNCTION("""COMPUTED_VALUE"""),"https://eddieselectronicsandgadgets.com/cart/42605744750676:1?attributes[click_id]=example_click_id")</f>
        <v>https://eddieselectronicsandgadgets.com/cart/42605744750676:1?attributes[click_id]=example_click_id</v>
      </c>
    </row>
    <row r="40">
      <c r="A40" s="1" t="str">
        <f>IFERROR(__xludf.DUMMYFUNCTION("""COMPUTED_VALUE"""),"Computers &amp; Electronics")</f>
        <v>Computers &amp; Electronics</v>
      </c>
      <c r="B40" s="1" t="str">
        <f>IFERROR(__xludf.DUMMYFUNCTION("""COMPUTED_VALUE"""),"CN")</f>
        <v>CN</v>
      </c>
      <c r="C40" s="3" t="str">
        <f>IFERROR(__xludf.DUMMYFUNCTION("""COMPUTED_VALUE"""),"epomaker.com")</f>
        <v>epomaker.com</v>
      </c>
      <c r="D40" s="1" t="str">
        <f>IFERROR(__xludf.DUMMYFUNCTION("""COMPUTED_VALUE"""),"*, AC, AD, AE, AF, AG, AI, AL, AM, AO, AR, AT, AU, AW, AX, AZ, BA, BB, BD, BE, BF, BG, BH, BI, BJ, BL, BM, BN, BO, BQ, BR, BS, BT, BW, BY, BZ, CA, CC, CD, CF, CG, CH, CI, CK, CL, CM, CN, CO, CR, CV, CW, CX, CY, CZ, DE, DJ, DK, DM, DO, DZ, EC, EE, EG, EH, "&amp;"ER, ES, ET, FI, FJ, FK, FO, FR, GA, GB, GD, GE, GF, GG, GH, GI, GL, GM, GN, GP, GQ, GR, GS, GT, GW, GY, HK, HN, HR, HT, HU, ID, IE, IL, IM, IN, IO, IQ, IS, IT, JE, JM, JO, JP, KE, KG, KH, KI, KM, KN, KR, KW, KY, KZ, LA, LB, LC, LI, LK, LR, LS, LT, LU, LV,"&amp;" LY, MA, MC, MD, ME, MF, MG, MK, ML, MM, MN, MO, MQ, MR, MS, MT, MU, MV, MW, MX, MY, MZ, NA, NC, NE, NF, NG, NI, NL, NO, NP, NR, NU, NZ, OM, PA, PE, PF, PG, PH, PK, PL, PM, PN, PS, PT, PY, QA, RE, RO, RS, RU, RW, SA, SB, SC, SD, SE, SG, SH, SI, SJ, SK, SL"&amp;", SM, SN, SO, SR, SS, ST, SV, SX, SZ, TA, TC, TD, TF, TG, TH, TJ, TK, TL, TM, TN, TO, TR, TT, TV, TW, TZ, UA, UG, UM, US, UY, UZ, VA, VC, VE, VG, VN, VU, WF, WS, XK, YE, YT, ZA, ZM, ZW")</f>
        <v>*, AC, AD, AE, AF, AG, AI, AL, AM, AO, AR, AT, AU, AW, AX, AZ, BA, BB, BD, BE, BF, BG, BH, BI, BJ, BL, BM, BN, BO, BQ, BR, BS, BT, BW, BY, BZ, CA, CC, CD, CF, CG, CH, CI, CK, CL, CM, CN, CO, CR, CV, CW, CX, CY, CZ, DE, DJ, DK, DM, DO, DZ, EC, EE, EG, EH, ER, ES, ET, FI, FJ, FK, FO, FR, GA, GB, GD, GE, GF, GG, GH, GI, GL, GM, GN, GP, GQ, GR, GS, GT, GW, GY, HK, HN, HR, HT, HU, ID, IE, IL, IM, IN, IO, IQ, IS, IT, JE, JM, JO, JP, KE, KG, KH, KI, KM, KN, KR, KW, KY, KZ, LA, LB, LC, LI, LK, LR, LS, LT, LU, LV, LY, MA, MC, MD, ME, MF, MG, MK, ML, MM, MN, MO, MQ, MR, MS, MT, MU, MV, MW, MX, MY, MZ, NA, NC, NE, NF, NG, NI, NL, NO, NP, NR, NU, NZ, OM, PA, PE, PF, PG, PH, PK, PL, PM, PN, PS, PT, PY, QA, RE, RO, RS, RU, RW, SA, SB, SC, SD, SE, SG, SH, SI, SJ, SK, SL, SM, SN, SO, SR, SS, ST, SV, SX, SZ, TA, TC, TD, TF, TG, TH, TJ, TK, TL, TM, TN, TO, TR, TT, TV, TW, TZ, UA, UG, UM, US, UY, UZ, VA, VC, VE, VG, VN, VU, WF, WS, XK, YE, YT, ZA, ZM, ZW</v>
      </c>
      <c r="E40" s="2" t="str">
        <f>IFERROR(__xludf.DUMMYFUNCTION("""COMPUTED_VALUE"""),"EPOMAKER Stomp Tactile Switch Set - 100pcs")</f>
        <v>EPOMAKER Stomp Tactile Switch Set - 100pcs</v>
      </c>
      <c r="F40" s="2" t="str">
        <f>IFERROR(__xludf.DUMMYFUNCTION("""COMPUTED_VALUE"""),"49273116262708")</f>
        <v>49273116262708</v>
      </c>
      <c r="G40" s="2">
        <f>IFERROR(__xludf.DUMMYFUNCTION("""COMPUTED_VALUE"""),24.99)</f>
        <v>24.99</v>
      </c>
      <c r="H40" s="2" t="str">
        <f>IFERROR(__xludf.DUMMYFUNCTION("""COMPUTED_VALUE"""),"USD")</f>
        <v>USD</v>
      </c>
      <c r="I40" s="5" t="str">
        <f>IFERROR(__xludf.DUMMYFUNCTION("""COMPUTED_VALUE"""),"https://epomaker.com/cart/49273116262708:1?attributes[click_id]=example_click_id")</f>
        <v>https://epomaker.com/cart/49273116262708:1?attributes[click_id]=example_click_id</v>
      </c>
    </row>
    <row r="41">
      <c r="A41" s="1" t="str">
        <f>IFERROR(__xludf.DUMMYFUNCTION("""COMPUTED_VALUE"""),"Office &amp; Business Supplies")</f>
        <v>Office &amp; Business Supplies</v>
      </c>
      <c r="B41" s="1" t="str">
        <f>IFERROR(__xludf.DUMMYFUNCTION("""COMPUTED_VALUE"""),"SG")</f>
        <v>SG</v>
      </c>
      <c r="C41" s="3" t="str">
        <f>IFERROR(__xludf.DUMMYFUNCTION("""COMPUTED_VALUE"""),"ergotune.com")</f>
        <v>ergotune.com</v>
      </c>
      <c r="D41" s="1" t="str">
        <f>IFERROR(__xludf.DUMMYFUNCTION("""COMPUTED_VALUE"""),"SG")</f>
        <v>SG</v>
      </c>
      <c r="E41" s="2" t="str">
        <f>IFERROR(__xludf.DUMMYFUNCTION("""COMPUTED_VALUE"""),"F-Clamp Pegboard Panel - Black")</f>
        <v>F-Clamp Pegboard Panel - Black</v>
      </c>
      <c r="F41" s="2" t="str">
        <f>IFERROR(__xludf.DUMMYFUNCTION("""COMPUTED_VALUE"""),"51986214289774")</f>
        <v>51986214289774</v>
      </c>
      <c r="G41" s="2">
        <f>IFERROR(__xludf.DUMMYFUNCTION("""COMPUTED_VALUE"""),59.0)</f>
        <v>59</v>
      </c>
      <c r="H41" s="2" t="str">
        <f>IFERROR(__xludf.DUMMYFUNCTION("""COMPUTED_VALUE"""),"SGD")</f>
        <v>SGD</v>
      </c>
      <c r="I41" s="5" t="str">
        <f>IFERROR(__xludf.DUMMYFUNCTION("""COMPUTED_VALUE"""),"https://ergotune.com/cart/51986214289774:1?attributes[click_id]=example_click_id")</f>
        <v>https://ergotune.com/cart/51986214289774:1?attributes[click_id]=example_click_id</v>
      </c>
    </row>
    <row r="42">
      <c r="A42" s="1" t="str">
        <f>IFERROR(__xludf.DUMMYFUNCTION("""COMPUTED_VALUE"""),"Fashion &amp; Apparel")</f>
        <v>Fashion &amp; Apparel</v>
      </c>
      <c r="B42" s="1" t="str">
        <f>IFERROR(__xludf.DUMMYFUNCTION("""COMPUTED_VALUE"""),"US")</f>
        <v>US</v>
      </c>
      <c r="C42" s="3" t="str">
        <f>IFERROR(__xludf.DUMMYFUNCTION("""COMPUTED_VALUE"""),"everlane.com")</f>
        <v>everlane.com</v>
      </c>
      <c r="D42" s="1" t="str">
        <f>IFERROR(__xludf.DUMMYFUNCTION("""COMPUTED_VALUE"""),"AD, AE, AG, AI, AL, AM, AO, AR, AT, AU, AW, AZ, BA, BB, BD, BE, BF, BG, BH, BI, BJ, BL, BM, BN, BO, BR, BS, BT, BW, BZ, CA, CG, CH, CI, CK, CL, CM, CN, CO, CR, CV, CW, CY, CZ, DE, DJ, DK, DM, DO, DZ, EC, EE, EG, ES, ET, FI, FJ, FK, FO, FR, GA, GB, GD, GE,"&amp;" GF, GG, GH, GI, GL, GM, GN, GP, GQ, GR, GT, GW, GY, HK, HN, HR, HT, HU, ID, IE, IL, IM, IN, IS, IT, JE, JM, JO, JP, KE, KG, KH, KI, KM, KN, KR, KW, KY, KZ, LA, LB, LC, LI, LK, LR, LS, LT, LU, LV, MA, MC, MD, ME, MF, MG, MK, MN, MO, MQ, MR, MS, MT, MU, MV"&amp;", MW, MX, MY, MZ, NA, NC, NG, NI, NL, NO, NP, NR, NU, NZ, OM, PA, PE, PF, PG, PH, PK, PL, PT, PY, QA, RE, RO, RS, RW, SA, SB, SC, SE, SG, SH, SI, SK, SL, SM, SN, SR, ST, SV, SX, SZ, TC, TD, TG, TH, TL, TM, TN, TO, TT, TV, TW, TZ, UG, US, UY, UZ, VA, VC, V"&amp;"E, VG, VN, VU, WF, WS, YT, ZA, ZM, ZW")</f>
        <v>AD, AE, AG, AI, AL, AM, AO, AR, AT, AU, AW, AZ, BA, BB, BD, BE, BF, BG, BH, BI, BJ, BL, BM, BN, BO, BR, BS, BT, BW, BZ, CA, CG, CH, CI, CK, CL, CM, CN, CO, CR, CV, CW, CY, CZ, DE, DJ, DK, DM, DO, DZ, EC, EE, EG, ES, ET, FI, FJ, FK, FO, FR, GA, GB, GD, GE, GF, GG, GH, GI, GL, GM, GN, GP, GQ, GR, GT, GW, GY, HK, HN, HR, HT, HU, ID, IE, IL, IM, IN, IS, IT, JE, JM, JO, JP, KE, KG, KH, KI, KM, KN, KR, KW, KY, KZ, LA, LB, LC, LI, LK, LR, LS, LT, LU, LV, MA, MC, MD, ME, MF, MG, MK, MN, MO, MQ, MR, MS, MT, MU, MV, MW, MX, MY, MZ, NA, NC, NG, NI, NL, NO, NP, NR, NU, NZ, OM, PA, PE, PF, PG, PH, PK, PL, PT, PY, QA, RE, RO, RS, RW, SA, SB, SC, SE, SG, SH, SI, SK, SL, SM, SN, SR, ST, SV, SX, SZ, TC, TD, TG, TH, TL, TM, TN, TO, TT, TV, TW, TZ, UG, US, UY, UZ, VA, VC, VE, VG, VN, VU, WF, WS, YT, ZA, ZM, ZW</v>
      </c>
      <c r="E42" s="2" t="str">
        <f>IFERROR(__xludf.DUMMYFUNCTION("""COMPUTED_VALUE"""),"W AAP Featherweight Alpaca LS Wrap Top - M")</f>
        <v>W AAP Featherweight Alpaca LS Wrap Top - M</v>
      </c>
      <c r="F42" s="2" t="str">
        <f>IFERROR(__xludf.DUMMYFUNCTION("""COMPUTED_VALUE"""),"45720483266646")</f>
        <v>45720483266646</v>
      </c>
      <c r="G42" s="2">
        <f>IFERROR(__xludf.DUMMYFUNCTION("""COMPUTED_VALUE"""),148.0)</f>
        <v>148</v>
      </c>
      <c r="H42" s="2" t="str">
        <f>IFERROR(__xludf.DUMMYFUNCTION("""COMPUTED_VALUE"""),"USD")</f>
        <v>USD</v>
      </c>
      <c r="I42" s="5" t="str">
        <f>IFERROR(__xludf.DUMMYFUNCTION("""COMPUTED_VALUE"""),"https://www.everlane.com/cart/45720483266646:1?attributes[click_id]=example_click_id")</f>
        <v>https://www.everlane.com/cart/45720483266646:1?attributes[click_id]=example_click_id</v>
      </c>
    </row>
    <row r="43">
      <c r="A43" s="1" t="str">
        <f>IFERROR(__xludf.DUMMYFUNCTION("""COMPUTED_VALUE"""),"Jewellery &amp; Watches")</f>
        <v>Jewellery &amp; Watches</v>
      </c>
      <c r="B43" s="1" t="str">
        <f>IFERROR(__xludf.DUMMYFUNCTION("""COMPUTED_VALUE"""),"US")</f>
        <v>US</v>
      </c>
      <c r="C43" s="3" t="str">
        <f>IFERROR(__xludf.DUMMYFUNCTION("""COMPUTED_VALUE"""),"evryjewels.com")</f>
        <v>evryjewels.com</v>
      </c>
      <c r="D43" s="1" t="str">
        <f>IFERROR(__xludf.DUMMYFUNCTION("""COMPUTED_VALUE"""),"AT, AU, BE, BG, BY, CA, CH, CY, CZ, DE, DK, EE, ES, FI, FO, FR, GB, GR, HR, HU, IE, IM, IS, IT, LT, LU, LV, MC, MD, MT, MX, NL, NO, NZ, PL, PT, RO, SE, SG, SI, SK, US")</f>
        <v>AT, AU, BE, BG, BY, CA, CH, CY, CZ, DE, DK, EE, ES, FI, FO, FR, GB, GR, HR, HU, IE, IM, IS, IT, LT, LU, LV, MC, MD, MT, MX, NL, NO, NZ, PL, PT, RO, SE, SG, SI, SK, US</v>
      </c>
      <c r="E43" s="2" t="str">
        <f>IFERROR(__xludf.DUMMYFUNCTION("""COMPUTED_VALUE"""),"Let it Shine Necklace - 14K Gold Plating")</f>
        <v>Let it Shine Necklace - 14K Gold Plating</v>
      </c>
      <c r="F43" s="2" t="str">
        <f>IFERROR(__xludf.DUMMYFUNCTION("""COMPUTED_VALUE"""),"42936174313549")</f>
        <v>42936174313549</v>
      </c>
      <c r="G43" s="2">
        <f>IFERROR(__xludf.DUMMYFUNCTION("""COMPUTED_VALUE"""),13.99)</f>
        <v>13.99</v>
      </c>
      <c r="H43" s="2" t="str">
        <f>IFERROR(__xludf.DUMMYFUNCTION("""COMPUTED_VALUE"""),"USD")</f>
        <v>USD</v>
      </c>
      <c r="I43" s="5" t="str">
        <f>IFERROR(__xludf.DUMMYFUNCTION("""COMPUTED_VALUE"""),"https://evryjewels.com/cart/42936174313549:1?attributes[click_id]=example_click_id")</f>
        <v>https://evryjewels.com/cart/42936174313549:1?attributes[click_id]=example_click_id</v>
      </c>
    </row>
    <row r="44">
      <c r="A44" s="1" t="str">
        <f>IFERROR(__xludf.DUMMYFUNCTION("""COMPUTED_VALUE"""),"Grocery &amp; Pantry")</f>
        <v>Grocery &amp; Pantry</v>
      </c>
      <c r="B44" s="1" t="str">
        <f>IFERROR(__xludf.DUMMYFUNCTION("""COMPUTED_VALUE"""),"US")</f>
        <v>US</v>
      </c>
      <c r="C44" s="3" t="str">
        <f>IFERROR(__xludf.DUMMYFUNCTION("""COMPUTED_VALUE"""),"exoticsnacks.com")</f>
        <v>exoticsnacks.com</v>
      </c>
      <c r="D44" s="1" t="str">
        <f>IFERROR(__xludf.DUMMYFUNCTION("""COMPUTED_VALUE"""),"*, CA, US")</f>
        <v>*, CA, US</v>
      </c>
      <c r="E44" s="2" t="str">
        <f>IFERROR(__xludf.DUMMYFUNCTION("""COMPUTED_VALUE"""),"Lay's Mini Potato Bites Honey Butter Flavor, 40g")</f>
        <v>Lay's Mini Potato Bites Honey Butter Flavor, 40g</v>
      </c>
      <c r="F44" s="2" t="str">
        <f>IFERROR(__xludf.DUMMYFUNCTION("""COMPUTED_VALUE"""),"49276049621211")</f>
        <v>49276049621211</v>
      </c>
      <c r="G44" s="2">
        <f>IFERROR(__xludf.DUMMYFUNCTION("""COMPUTED_VALUE"""),4.99)</f>
        <v>4.99</v>
      </c>
      <c r="H44" s="2" t="str">
        <f>IFERROR(__xludf.DUMMYFUNCTION("""COMPUTED_VALUE"""),"USD")</f>
        <v>USD</v>
      </c>
      <c r="I44" s="5" t="str">
        <f>IFERROR(__xludf.DUMMYFUNCTION("""COMPUTED_VALUE"""),"https://exoticsnacks.com/cart/49276049621211:1?attributes[click_id]=example_click_id")</f>
        <v>https://exoticsnacks.com/cart/49276049621211:1?attributes[click_id]=example_click_id</v>
      </c>
    </row>
    <row r="45">
      <c r="A45" s="1" t="str">
        <f>IFERROR(__xludf.DUMMYFUNCTION("""COMPUTED_VALUE"""),"Toys &amp; Games")</f>
        <v>Toys &amp; Games</v>
      </c>
      <c r="B45" s="1" t="str">
        <f>IFERROR(__xludf.DUMMYFUNCTION("""COMPUTED_VALUE"""),"US")</f>
        <v>US</v>
      </c>
      <c r="C45" s="3" t="str">
        <f>IFERROR(__xludf.DUMMYFUNCTION("""COMPUTED_VALUE"""),"explodingkittens.com")</f>
        <v>explodingkittens.com</v>
      </c>
      <c r="D45" s="1" t="str">
        <f>IFERROR(__xludf.DUMMYFUNCTION("""COMPUTED_VALUE"""),"AD, AX, BE, BL, CA, CY, DE, ES, FR, GB, GF, GP, IE, IT, MC, ME, MF, MQ, NL, PM, PT, RE, SM, TF, US, VA, YT")</f>
        <v>AD, AX, BE, BL, CA, CY, DE, ES, FR, GB, GF, GP, IE, IT, MC, ME, MF, MQ, NL, PM, PT, RE, SM, TF, US, VA, YT</v>
      </c>
      <c r="E45" s="2" t="str">
        <f>IFERROR(__xludf.DUMMYFUNCTION("""COMPUTED_VALUE"""),"Berry Cherry Parrot Punch")</f>
        <v>Berry Cherry Parrot Punch</v>
      </c>
      <c r="F45" s="2" t="str">
        <f>IFERROR(__xludf.DUMMYFUNCTION("""COMPUTED_VALUE"""),"45020937715851")</f>
        <v>45020937715851</v>
      </c>
      <c r="G45" s="2">
        <f>IFERROR(__xludf.DUMMYFUNCTION("""COMPUTED_VALUE"""),9.99)</f>
        <v>9.99</v>
      </c>
      <c r="H45" s="2" t="str">
        <f>IFERROR(__xludf.DUMMYFUNCTION("""COMPUTED_VALUE"""),"USD")</f>
        <v>USD</v>
      </c>
      <c r="I45" s="5" t="str">
        <f>IFERROR(__xludf.DUMMYFUNCTION("""COMPUTED_VALUE"""),"https://www.explodingkittens.com/cart/45020937715851:1?attributes[click_id]=example_click_id")</f>
        <v>https://www.explodingkittens.com/cart/45020937715851:1?attributes[click_id]=example_click_id</v>
      </c>
    </row>
    <row r="46">
      <c r="A46" s="1" t="str">
        <f>IFERROR(__xludf.DUMMYFUNCTION("""COMPUTED_VALUE"""),"Fashion &amp; Apparel")</f>
        <v>Fashion &amp; Apparel</v>
      </c>
      <c r="B46" s="1" t="str">
        <f>IFERROR(__xludf.DUMMYFUNCTION("""COMPUTED_VALUE"""),"US")</f>
        <v>US</v>
      </c>
      <c r="C46" s="3" t="str">
        <f>IFERROR(__xludf.DUMMYFUNCTION("""COMPUTED_VALUE"""),"fashionnova.com")</f>
        <v>fashionnova.com</v>
      </c>
      <c r="D46" s="1" t="str">
        <f>IFERROR(__xludf.DUMMYFUNCTION("""COMPUTED_VALUE"""),"Unknown")</f>
        <v>Unknown</v>
      </c>
      <c r="E46" s="2" t="str">
        <f>IFERROR(__xludf.DUMMYFUNCTION("""COMPUTED_VALUE"""),"Modern Essential Zip Up Jacket - Navy - M")</f>
        <v>Modern Essential Zip Up Jacket - Navy - M</v>
      </c>
      <c r="F46" s="2" t="str">
        <f>IFERROR(__xludf.DUMMYFUNCTION("""COMPUTED_VALUE"""),"39313711169660")</f>
        <v>39313711169660</v>
      </c>
      <c r="G46" s="2">
        <f>IFERROR(__xludf.DUMMYFUNCTION("""COMPUTED_VALUE"""),30.99)</f>
        <v>30.99</v>
      </c>
      <c r="H46" s="2" t="str">
        <f>IFERROR(__xludf.DUMMYFUNCTION("""COMPUTED_VALUE"""),"USD")</f>
        <v>USD</v>
      </c>
      <c r="I46" s="5" t="str">
        <f>IFERROR(__xludf.DUMMYFUNCTION("""COMPUTED_VALUE"""),"https://www.fashionnova.com/cart/39313711169660:1?attributes[click_id]=example_click_id")</f>
        <v>https://www.fashionnova.com/cart/39313711169660:1?attributes[click_id]=example_click_id</v>
      </c>
    </row>
    <row r="47">
      <c r="A47" s="1" t="str">
        <f>IFERROR(__xludf.DUMMYFUNCTION("""COMPUTED_VALUE"""),"Maker &amp; DIY Electronics")</f>
        <v>Maker &amp; DIY Electronics</v>
      </c>
      <c r="B47" s="1" t="str">
        <f>IFERROR(__xludf.DUMMYFUNCTION("""COMPUTED_VALUE"""),"US")</f>
        <v>US</v>
      </c>
      <c r="C47" s="3" t="str">
        <f>IFERROR(__xludf.DUMMYFUNCTION("""COMPUTED_VALUE"""),"flipper.net")</f>
        <v>flipper.net</v>
      </c>
      <c r="D47" s="1" t="str">
        <f>IFERROR(__xludf.DUMMYFUNCTION("""COMPUTED_VALUE"""),"AT, BE, BG, CA, CY, CZ, DE, DK, EE, ES, FI, FR, GB, GR, HR, HU, IE, IT, LT, LU, LV, MT, NL, PL, PT, RO, SE, SI, SK, US")</f>
        <v>AT, BE, BG, CA, CY, CZ, DE, DK, EE, ES, FI, FR, GB, GR, HR, HU, IE, IT, LT, LU, LV, MT, NL, PL, PT, RO, SE, SI, SK, US</v>
      </c>
      <c r="E47" s="2" t="str">
        <f>IFERROR(__xludf.DUMMYFUNCTION("""COMPUTED_VALUE"""),"Flipper Zero")</f>
        <v>Flipper Zero</v>
      </c>
      <c r="F47" s="2" t="str">
        <f>IFERROR(__xludf.DUMMYFUNCTION("""COMPUTED_VALUE"""),"42813335011481")</f>
        <v>42813335011481</v>
      </c>
      <c r="G47" s="2">
        <f>IFERROR(__xludf.DUMMYFUNCTION("""COMPUTED_VALUE"""),169.0)</f>
        <v>169</v>
      </c>
      <c r="H47" s="2" t="str">
        <f>IFERROR(__xludf.DUMMYFUNCTION("""COMPUTED_VALUE"""),"USD")</f>
        <v>USD</v>
      </c>
      <c r="I47" s="5" t="str">
        <f>IFERROR(__xludf.DUMMYFUNCTION("""COMPUTED_VALUE"""),"https://flipper.net/cart/42813335011481:1?attributes[click_id]=example_click_id")</f>
        <v>https://flipper.net/cart/42813335011481:1?attributes[click_id]=example_click_id</v>
      </c>
    </row>
    <row r="48">
      <c r="A48" s="1" t="str">
        <f>IFERROR(__xludf.DUMMYFUNCTION("""COMPUTED_VALUE"""),"Gifts &amp; Flowers")</f>
        <v>Gifts &amp; Flowers</v>
      </c>
      <c r="B48" s="1" t="str">
        <f>IFERROR(__xludf.DUMMYFUNCTION("""COMPUTED_VALUE"""),"AU")</f>
        <v>AU</v>
      </c>
      <c r="C48" s="3" t="str">
        <f>IFERROR(__xludf.DUMMYFUNCTION("""COMPUTED_VALUE"""),"floraly.com.au")</f>
        <v>floraly.com.au</v>
      </c>
      <c r="D48" s="1" t="str">
        <f>IFERROR(__xludf.DUMMYFUNCTION("""COMPUTED_VALUE"""),"AD, AT, AU, AX, BE, DE, EE, ES, FI, FR, GB, GR, IE, IT, LT, LU, LV, MC, ME, MT, NL, PT, SI, SK, SM, US, VA, XK")</f>
        <v>AD, AT, AU, AX, BE, DE, EE, ES, FI, FR, GB, GR, IE, IT, LT, LU, LV, MC, ME, MT, NL, PT, SI, SK, SM, US, VA, XK</v>
      </c>
      <c r="E48" s="2" t="str">
        <f>IFERROR(__xludf.DUMMYFUNCTION("""COMPUTED_VALUE"""),"Mixed Poppies - Simple / Sydney Metro")</f>
        <v>Mixed Poppies - Simple / Sydney Metro</v>
      </c>
      <c r="F48" s="2" t="str">
        <f>IFERROR(__xludf.DUMMYFUNCTION("""COMPUTED_VALUE"""),"44226246213911")</f>
        <v>44226246213911</v>
      </c>
      <c r="G48" s="2">
        <f>IFERROR(__xludf.DUMMYFUNCTION("""COMPUTED_VALUE"""),75.0)</f>
        <v>75</v>
      </c>
      <c r="H48" s="2" t="str">
        <f>IFERROR(__xludf.DUMMYFUNCTION("""COMPUTED_VALUE"""),"AUD")</f>
        <v>AUD</v>
      </c>
      <c r="I48" s="5" t="str">
        <f>IFERROR(__xludf.DUMMYFUNCTION("""COMPUTED_VALUE"""),"https://www.floraly.com.au/cart/44226246213911:1?attributes[click_id]=example_click_id")</f>
        <v>https://www.floraly.com.au/cart/44226246213911:1?attributes[click_id]=example_click_id</v>
      </c>
    </row>
    <row r="49">
      <c r="A49" s="1" t="str">
        <f>IFERROR(__xludf.DUMMYFUNCTION("""COMPUTED_VALUE"""),"Coffee &amp; Tea")</f>
        <v>Coffee &amp; Tea</v>
      </c>
      <c r="B49" s="1" t="str">
        <f>IFERROR(__xludf.DUMMYFUNCTION("""COMPUTED_VALUE"""),"SG")</f>
        <v>SG</v>
      </c>
      <c r="C49" s="3" t="str">
        <f>IFERROR(__xludf.DUMMYFUNCTION("""COMPUTED_VALUE"""),"forewordcoffee.com")</f>
        <v>forewordcoffee.com</v>
      </c>
      <c r="D49" s="1" t="str">
        <f>IFERROR(__xludf.DUMMYFUNCTION("""COMPUTED_VALUE"""),"AE, AT, AU, BE, CA, CH, CZ, DE, DK, ES, FI, FR, GB, HK, IE, IL, IT, JP, KR, MY, NL, NO, NZ, PL, PT, SE, SG, US")</f>
        <v>AE, AT, AU, BE, CA, CH, CZ, DE, DK, ES, FI, FR, GB, HK, IE, IL, IT, JP, KR, MY, NL, NO, NZ, PL, PT, SE, SG, US</v>
      </c>
      <c r="E49" s="2" t="str">
        <f>IFERROR(__xludf.DUMMYFUNCTION("""COMPUTED_VALUE"""),"Mini Ondeh Ondeh Tray Cake")</f>
        <v>Mini Ondeh Ondeh Tray Cake</v>
      </c>
      <c r="F49" s="2" t="str">
        <f>IFERROR(__xludf.DUMMYFUNCTION("""COMPUTED_VALUE"""),"47269598429340")</f>
        <v>47269598429340</v>
      </c>
      <c r="G49" s="2">
        <f>IFERROR(__xludf.DUMMYFUNCTION("""COMPUTED_VALUE"""),43.5)</f>
        <v>43.5</v>
      </c>
      <c r="H49" s="2" t="str">
        <f>IFERROR(__xludf.DUMMYFUNCTION("""COMPUTED_VALUE"""),"SGD")</f>
        <v>SGD</v>
      </c>
      <c r="I49" s="5" t="str">
        <f>IFERROR(__xludf.DUMMYFUNCTION("""COMPUTED_VALUE"""),"https://forewordcoffee.com/cart/47269598429340:1?attributes[click_id]=example_click_id")</f>
        <v>https://forewordcoffee.com/cart/47269598429340:1?attributes[click_id]=example_click_id</v>
      </c>
    </row>
    <row r="50">
      <c r="A50" s="1" t="str">
        <f>IFERROR(__xludf.DUMMYFUNCTION("""COMPUTED_VALUE"""),"Sports &amp; Outdoors")</f>
        <v>Sports &amp; Outdoors</v>
      </c>
      <c r="B50" s="1" t="str">
        <f>IFERROR(__xludf.DUMMYFUNCTION("""COMPUTED_VALUE"""),"US")</f>
        <v>US</v>
      </c>
      <c r="C50" s="3" t="str">
        <f>IFERROR(__xludf.DUMMYFUNCTION("""COMPUTED_VALUE"""),"forzasports.com")</f>
        <v>forzasports.com</v>
      </c>
      <c r="D50" s="1" t="str">
        <f>IFERROR(__xludf.DUMMYFUNCTION("""COMPUTED_VALUE"""),"AE, AT, AU, BE, BR, CA, CH, CZ, DE, DK, ES, FI, FR, GB, GR, HK, HU, IE, IN, IS, IT, JP, KR, MA, MQ, MT, MX, MY, NL, NO, NZ, PL, PT, PY, RO, SE, SG, SK, TH, US, VN")</f>
        <v>AE, AT, AU, BE, BR, CA, CH, CZ, DE, DK, ES, FI, FR, GB, GR, HK, HU, IE, IN, IS, IT, JP, KR, MA, MQ, MT, MX, MY, NL, NO, NZ, PL, PT, PY, RO, SE, SG, SK, TH, US, VN</v>
      </c>
      <c r="E50" s="2" t="str">
        <f>IFERROR(__xludf.DUMMYFUNCTION("""COMPUTED_VALUE"""),"SISU Aero Guard 2.0mm Adult Mouthguard - Charcoal Black")</f>
        <v>SISU Aero Guard 2.0mm Adult Mouthguard - Charcoal Black</v>
      </c>
      <c r="F50" s="2" t="str">
        <f>IFERROR(__xludf.DUMMYFUNCTION("""COMPUTED_VALUE"""),"45932078760071")</f>
        <v>45932078760071</v>
      </c>
      <c r="G50" s="2">
        <f>IFERROR(__xludf.DUMMYFUNCTION("""COMPUTED_VALUE"""),19.99)</f>
        <v>19.99</v>
      </c>
      <c r="H50" s="2" t="str">
        <f>IFERROR(__xludf.DUMMYFUNCTION("""COMPUTED_VALUE"""),"USD")</f>
        <v>USD</v>
      </c>
      <c r="I50" s="5" t="str">
        <f>IFERROR(__xludf.DUMMYFUNCTION("""COMPUTED_VALUE"""),"https://forzasports.com/cart/45932078760071:1?attributes[click_id]=example_click_id")</f>
        <v>https://forzasports.com/cart/45932078760071:1?attributes[click_id]=example_click_id</v>
      </c>
    </row>
    <row r="51">
      <c r="A51" s="1" t="str">
        <f>IFERROR(__xludf.DUMMYFUNCTION("""COMPUTED_VALUE"""),"Kitchen &amp; Dining")</f>
        <v>Kitchen &amp; Dining</v>
      </c>
      <c r="B51" s="1" t="str">
        <f>IFERROR(__xludf.DUMMYFUNCTION("""COMPUTED_VALUE"""),"US")</f>
        <v>US</v>
      </c>
      <c r="C51" s="3" t="str">
        <f>IFERROR(__xludf.DUMMYFUNCTION("""COMPUTED_VALUE"""),"fromourplace.com")</f>
        <v>fromourplace.com</v>
      </c>
      <c r="D51" s="1" t="str">
        <f>IFERROR(__xludf.DUMMYFUNCTION("""COMPUTED_VALUE"""),"*, AE, AU, CA, US")</f>
        <v>*, AE, AU, CA, US</v>
      </c>
      <c r="E51" s="2" t="str">
        <f>IFERROR(__xludf.DUMMYFUNCTION("""COMPUTED_VALUE"""),"Walnut Knife Block")</f>
        <v>Walnut Knife Block</v>
      </c>
      <c r="F51" s="2" t="str">
        <f>IFERROR(__xludf.DUMMYFUNCTION("""COMPUTED_VALUE"""),"43940711923906")</f>
        <v>43940711923906</v>
      </c>
      <c r="G51" s="2">
        <f>IFERROR(__xludf.DUMMYFUNCTION("""COMPUTED_VALUE"""),99.0)</f>
        <v>99</v>
      </c>
      <c r="H51" s="2" t="str">
        <f>IFERROR(__xludf.DUMMYFUNCTION("""COMPUTED_VALUE"""),"USD")</f>
        <v>USD</v>
      </c>
      <c r="I51" s="5" t="str">
        <f>IFERROR(__xludf.DUMMYFUNCTION("""COMPUTED_VALUE"""),"https://fromourplace.com/cart/43940711923906:1?attributes[click_id]=example_click_id")</f>
        <v>https://fromourplace.com/cart/43940711923906:1?attributes[click_id]=example_click_id</v>
      </c>
    </row>
    <row r="52">
      <c r="A52" s="1" t="str">
        <f>IFERROR(__xludf.DUMMYFUNCTION("""COMPUTED_VALUE"""),"Toys &amp; Games")</f>
        <v>Toys &amp; Games</v>
      </c>
      <c r="B52" s="1" t="str">
        <f>IFERROR(__xludf.DUMMYFUNCTION("""COMPUTED_VALUE"""),"AU")</f>
        <v>AU</v>
      </c>
      <c r="C52" s="3" t="str">
        <f>IFERROR(__xludf.DUMMYFUNCTION("""COMPUTED_VALUE"""),"gameology.com.au")</f>
        <v>gameology.com.au</v>
      </c>
      <c r="D52" s="1" t="str">
        <f>IFERROR(__xludf.DUMMYFUNCTION("""COMPUTED_VALUE"""),"AD, AE, AG, AI, AL, AM, AO, AT, AU, AW, AZ, BA, BB, BD, BE, BF, BG, BI, BJ, BM, BN, BO, BS, BT, BW, BZ, CA, CC, CH, CI, CK, CL, CM, CN, CO, CR, CV, CW, CX, CY, CZ, DE, DJ, DM, DO, DZ, EC, EE, EG, ER, ES, ET, FI, FJ, FO, FR, GA, GB, GD, GE, GF, GH, GI, GL,"&amp;" GM, GN, GP, GQ, GR, GT, GY, HK, HN, HR, HU, ID, IL, IN, IO, IS, IT, JM, JP, KG, KH, KI, KM, KN, KR, KW, KY, LA, LC, LI, LK, LR, LS, LT, LU, LV, MA, MC, MD, ME, MG, MK, ML, MM, MN, MO, MQ, MR, MS, MT, MU, MW, MX, MY, MZ, NA, NE, NF, NG, NI, NL, NO, NZ, PA"&amp;", PE, PH, PK, PL, PT, PY, RE, RS, RW, SC, SE, SG, SK, SN, SR, ST, SV, SX, SZ, TC, TD, TG, TH, TO, TR, TT, TW, TZ, UA, UG, US, UY, UZ, VE, VG, VN, VU, WS, ZA, ZM")</f>
        <v>AD, AE, AG, AI, AL, AM, AO, AT, AU, AW, AZ, BA, BB, BD, BE, BF, BG, BI, BJ, BM, BN, BO, BS, BT, BW, BZ, CA, CC, CH, CI, CK, CL, CM, CN, CO, CR, CV, CW, CX, CY, CZ, DE, DJ, DM, DO, DZ, EC, EE, EG, ER, ES, ET, FI, FJ, FO, FR, GA, GB, GD, GE, GF, GH, GI, GL, GM, GN, GP, GQ, GR, GT, GY, HK, HN, HR, HU, ID, IL, IN, IO, IS, IT, JM, JP, KG, KH, KI, KM, KN, KR, KW, KY, LA, LC, LI, LK, LR, LS, LT, LU, LV, MA, MC, MD, ME, MG, MK, ML, MM, MN, MO, MQ, MR, MS, MT, MU, MW, MX, MY, MZ, NA, NE, NF, NG, NI, NL, NO, NZ, PA, PE, PH, PK, PL, PT, PY, RE, RS, RW, SC, SE, SG, SK, SN, SR, ST, SV, SX, SZ, TC, TD, TG, TH, TO, TR, TT, TW, TZ, UA, UG, US, UY, UZ, VE, VG, VN, VU, WS, ZA, ZM</v>
      </c>
      <c r="E52" s="2" t="str">
        <f>IFERROR(__xludf.DUMMYFUNCTION("""COMPUTED_VALUE"""),"HGUC 1/144 Sazabi")</f>
        <v>HGUC 1/144 Sazabi</v>
      </c>
      <c r="F52" s="2" t="str">
        <f>IFERROR(__xludf.DUMMYFUNCTION("""COMPUTED_VALUE"""),"50530094022771")</f>
        <v>50530094022771</v>
      </c>
      <c r="G52" s="2">
        <f>IFERROR(__xludf.DUMMYFUNCTION("""COMPUTED_VALUE"""),42.95)</f>
        <v>42.95</v>
      </c>
      <c r="H52" s="2" t="str">
        <f>IFERROR(__xludf.DUMMYFUNCTION("""COMPUTED_VALUE"""),"AUD")</f>
        <v>AUD</v>
      </c>
      <c r="I52" s="5" t="str">
        <f>IFERROR(__xludf.DUMMYFUNCTION("""COMPUTED_VALUE"""),"https://www.gameology.com.au/cart/50530094022771:1?attributes[click_id]=example_click_id")</f>
        <v>https://www.gameology.com.au/cart/50530094022771:1?attributes[click_id]=example_click_id</v>
      </c>
    </row>
    <row r="53">
      <c r="A53" s="1" t="str">
        <f>IFERROR(__xludf.DUMMYFUNCTION("""COMPUTED_VALUE"""),"Computers &amp; Electronics")</f>
        <v>Computers &amp; Electronics</v>
      </c>
      <c r="B53" s="1" t="str">
        <f>IFERROR(__xludf.DUMMYFUNCTION("""COMPUTED_VALUE"""),"US")</f>
        <v>US</v>
      </c>
      <c r="C53" s="3" t="str">
        <f>IFERROR(__xludf.DUMMYFUNCTION("""COMPUTED_VALUE"""),"gearit.com")</f>
        <v>gearit.com</v>
      </c>
      <c r="D53" s="1" t="str">
        <f>IFERROR(__xludf.DUMMYFUNCTION("""COMPUTED_VALUE"""),"CA, US")</f>
        <v>CA, US</v>
      </c>
      <c r="E53" s="2" t="str">
        <f>IFERROR(__xludf.DUMMYFUNCTION("""COMPUTED_VALUE"""),"1000ft Bulk Cat6 Outdoor Ethernet Cable - DIY Kit")</f>
        <v>1000ft Bulk Cat6 Outdoor Ethernet Cable - DIY Kit</v>
      </c>
      <c r="F53" s="2" t="str">
        <f>IFERROR(__xludf.DUMMYFUNCTION("""COMPUTED_VALUE"""),"44314635862125")</f>
        <v>44314635862125</v>
      </c>
      <c r="G53" s="2">
        <f>IFERROR(__xludf.DUMMYFUNCTION("""COMPUTED_VALUE"""),156.98)</f>
        <v>156.98</v>
      </c>
      <c r="H53" s="2" t="str">
        <f>IFERROR(__xludf.DUMMYFUNCTION("""COMPUTED_VALUE"""),"USD")</f>
        <v>USD</v>
      </c>
      <c r="I53" s="5" t="str">
        <f>IFERROR(__xludf.DUMMYFUNCTION("""COMPUTED_VALUE"""),"https://www.gearit.com/cart/44314635862125:1?attributes[click_id]=example_click_id")</f>
        <v>https://www.gearit.com/cart/44314635862125:1?attributes[click_id]=example_click_id</v>
      </c>
    </row>
    <row r="54">
      <c r="A54" s="1" t="str">
        <f>IFERROR(__xludf.DUMMYFUNCTION("""COMPUTED_VALUE"""),"Computers &amp; Electronics")</f>
        <v>Computers &amp; Electronics</v>
      </c>
      <c r="B54" s="1" t="str">
        <f>IFERROR(__xludf.DUMMYFUNCTION("""COMPUTED_VALUE"""),"US")</f>
        <v>US</v>
      </c>
      <c r="C54" s="3" t="str">
        <f>IFERROR(__xludf.DUMMYFUNCTION("""COMPUTED_VALUE"""),"gloriousgaming.com")</f>
        <v>gloriousgaming.com</v>
      </c>
      <c r="D54" s="1" t="str">
        <f>IFERROR(__xludf.DUMMYFUNCTION("""COMPUTED_VALUE"""),"AT, AU, BA, BE, BG, CA, CH, CZ, DE, DK, EE, ES, FI, FR, GB, GG, GR, HR, HU, IE, IL, IM, IS, IT, JE, JP, KR, LI, LT, LU, LV, MC, MD, ME, MK, MT, NL, NO, NZ, PL, PT, RO, RS, SE, SG, SI, SK, TW, US")</f>
        <v>AT, AU, BA, BE, BG, CA, CH, CZ, DE, DK, EE, ES, FI, FR, GB, GG, GR, HR, HU, IE, IL, IM, IS, IT, JE, JP, KR, LI, LT, LU, LV, MC, MD, ME, MK, MT, NL, NO, NZ, PL, PT, RO, RS, SE, SG, SI, SK, TW, US</v>
      </c>
      <c r="E54" s="2" t="str">
        <f>IFERROR(__xludf.DUMMYFUNCTION("""COMPUTED_VALUE"""),"GMMK PRO Switch Plate Replacement - ANSI / Silver")</f>
        <v>GMMK PRO Switch Plate Replacement - ANSI / Silver</v>
      </c>
      <c r="F54" s="2" t="str">
        <f>IFERROR(__xludf.DUMMYFUNCTION("""COMPUTED_VALUE"""),"46703469691055")</f>
        <v>46703469691055</v>
      </c>
      <c r="G54" s="2">
        <f>IFERROR(__xludf.DUMMYFUNCTION("""COMPUTED_VALUE"""),29.99)</f>
        <v>29.99</v>
      </c>
      <c r="H54" s="2" t="str">
        <f>IFERROR(__xludf.DUMMYFUNCTION("""COMPUTED_VALUE"""),"USD")</f>
        <v>USD</v>
      </c>
      <c r="I54" s="5" t="str">
        <f>IFERROR(__xludf.DUMMYFUNCTION("""COMPUTED_VALUE"""),"https://gloriousgaming.com/cart/46703469691055:1?attributes[click_id]=example_click_id")</f>
        <v>https://gloriousgaming.com/cart/46703469691055:1?attributes[click_id]=example_click_id</v>
      </c>
    </row>
    <row r="55">
      <c r="A55" s="1" t="str">
        <f>IFERROR(__xludf.DUMMYFUNCTION("""COMPUTED_VALUE"""),"Computers &amp; Electronics")</f>
        <v>Computers &amp; Electronics</v>
      </c>
      <c r="B55" s="1" t="str">
        <f>IFERROR(__xludf.DUMMYFUNCTION("""COMPUTED_VALUE"""),"HK")</f>
        <v>HK</v>
      </c>
      <c r="C55" s="3" t="str">
        <f>IFERROR(__xludf.DUMMYFUNCTION("""COMPUTED_VALUE"""),"gmktec.com")</f>
        <v>gmktec.com</v>
      </c>
      <c r="D55" s="1" t="str">
        <f>IFERROR(__xludf.DUMMYFUNCTION("""COMPUTED_VALUE"""),"AE, AM, AR, AU, BD, BH, BN, BR, CA, CI, CL, CN, CO, CR, DZ, EC, FJ, GS, HK, ID, IN, KE, KH, KW, KZ, LK, LR, MA, MN, MO, MX, MY, NA, NG, NP, NZ, OM, PE, PH, PY, SA, SG, SV, TH, TO, TW, US, VE, ZA, ZM")</f>
        <v>AE, AM, AR, AU, BD, BH, BN, BR, CA, CI, CL, CN, CO, CR, DZ, EC, FJ, GS, HK, ID, IN, KE, KH, KW, KZ, LK, LR, MA, MN, MO, MX, MY, NA, NG, NP, NZ, OM, PE, PH, PY, SA, SG, SV, TH, TO, TW, US, VE, ZA, ZM</v>
      </c>
      <c r="E55" s="2" t="str">
        <f>IFERROR(__xludf.DUMMYFUNCTION("""COMPUTED_VALUE"""),"GMKtec EVO-X5 Pro Ryzen AI Max+ PRO 495 - 192GB + 2TB / US")</f>
        <v>GMKtec EVO-X5 Pro Ryzen AI Max+ PRO 495 - 192GB + 2TB / US</v>
      </c>
      <c r="F55" s="2" t="str">
        <f>IFERROR(__xludf.DUMMYFUNCTION("""COMPUTED_VALUE"""),"49224082620570")</f>
        <v>49224082620570</v>
      </c>
      <c r="G55" s="2">
        <f>IFERROR(__xludf.DUMMYFUNCTION("""COMPUTED_VALUE"""),6599.0)</f>
        <v>6599</v>
      </c>
      <c r="H55" s="2" t="str">
        <f>IFERROR(__xludf.DUMMYFUNCTION("""COMPUTED_VALUE"""),"USD")</f>
        <v>USD</v>
      </c>
      <c r="I55" s="5" t="str">
        <f>IFERROR(__xludf.DUMMYFUNCTION("""COMPUTED_VALUE"""),"https://www.gmktec.com/cart/49224082620570:1?attributes[click_id]=example_click_id")</f>
        <v>https://www.gmktec.com/cart/49224082620570:1?attributes[click_id]=example_click_id</v>
      </c>
    </row>
    <row r="56">
      <c r="A56" s="1" t="str">
        <f>IFERROR(__xludf.DUMMYFUNCTION("""COMPUTED_VALUE"""),"Health &amp; Wellness")</f>
        <v>Health &amp; Wellness</v>
      </c>
      <c r="B56" s="1" t="str">
        <f>IFERROR(__xludf.DUMMYFUNCTION("""COMPUTED_VALUE"""),"US")</f>
        <v>US</v>
      </c>
      <c r="C56" s="3" t="str">
        <f>IFERROR(__xludf.DUMMYFUNCTION("""COMPUTED_VALUE"""),"goli.com")</f>
        <v>goli.com</v>
      </c>
      <c r="D56" s="1" t="str">
        <f>IFERROR(__xludf.DUMMYFUNCTION("""COMPUTED_VALUE"""),"AD, AE, AG, AI, AL, AO, AR, AT, AU, AW, BB, BD, BE, BF, BG, BH, BI, BJ, BL, BM, BN, BO, BR, BS, BT, BW, BZ, CA, CH, CK, CL, CM, CO, CR, CV, CW, CY, CZ, DE, DJ, DK, DM, DO, DZ, EC, EE, EG, ER, ES, ET, FI, FJ, FO, FR, GA, GB, GD, GE, GF, GG, GH, GI, GL, GM,"&amp;" GN, GP, GQ, GR, GS, GT, GW, GY, HN, HR, HU, ID, IE, IL, IM, IN, IS, IT, JE, JM, JO, JP, KE, KG, KH, KI, KM, KN, KR, KW, KY, KZ, LA, LC, LI, LK, LR, LS, LT, LU, LV, MA, MC, MD, MF, MG, MK, MN, MQ, MR, MS, MT, MU, MV, MW, MY, MZ, NA, NC, NE, NF, NG, NL, NO"&amp;", NP, NR, NZ, OM, PA, PE, PF, PG, PH, PK, PL, PM, PN, PS, PT, PY, QA, RE, RO, RW, SA, SB, SC, SE, SG, SH, SI, SJ, SK, SL, SM, SN, SR, ST, SV, SX, SZ, TC, TD, TG, TH, TJ, TK, TL, TM, TN, TO, TT, TV, TW, TZ, UG, UM, US, UY, UZ, VA, VC, VG, VN, VU, WF, WS, Y"&amp;"T, ZA, ZM")</f>
        <v>AD, AE, AG, AI, AL, AO, AR, AT, AU, AW, BB, BD, BE, BF, BG, BH, BI, BJ, BL, BM, BN, BO, BR, BS, BT, BW, BZ, CA, CH, CK, CL, CM, CO, CR, CV, CW, CY, CZ, DE, DJ, DK, DM, DO, DZ, EC, EE, EG, ER, ES, ET, FI, FJ, FO, FR, GA, GB, GD, GE, GF, GG, GH, GI, GL, GM, GN, GP, GQ, GR, GS, GT, GW, GY, HN, HR, HU, ID, IE, IL, IM, IN, IS, IT, JE, JM, JO, JP, KE, KG, KH, KI, KM, KN, KR, KW, KY, KZ, LA, LC, LI, LK, LR, LS, LT, LU, LV, MA, MC, MD, MF, MG, MK, MN, MQ, MR, MS, MT, MU, MV, MW, MY, MZ, NA, NC, NE, NF, NG, NL, NO, NP, NR, NZ, OM, PA, PE, PF, PG, PH, PK, PL, PM, PN, PS, PT, PY, QA, RE, RO, RW, SA, SB, SC, SE, SG, SH, SI, SJ, SK, SL, SM, SN, SR, ST, SV, SX, SZ, TC, TD, TG, TH, TJ, TK, TL, TM, TN, TO, TT, TV, TW, TZ, UG, UM, US, UY, UZ, VA, VC, VG, VN, VU, WF, WS, YT, ZA, ZM</v>
      </c>
      <c r="E56" s="2" t="str">
        <f>IFERROR(__xludf.DUMMYFUNCTION("""COMPUTED_VALUE"""),"Zero Sugar ACV+ Gummies - 1 Bottle")</f>
        <v>Zero Sugar ACV+ Gummies - 1 Bottle</v>
      </c>
      <c r="F56" s="2" t="str">
        <f>IFERROR(__xludf.DUMMYFUNCTION("""COMPUTED_VALUE"""),"44170979016900")</f>
        <v>44170979016900</v>
      </c>
      <c r="G56" s="2">
        <f>IFERROR(__xludf.DUMMYFUNCTION("""COMPUTED_VALUE"""),17.98)</f>
        <v>17.98</v>
      </c>
      <c r="H56" s="2" t="str">
        <f>IFERROR(__xludf.DUMMYFUNCTION("""COMPUTED_VALUE"""),"USD")</f>
        <v>USD</v>
      </c>
      <c r="I56" s="5" t="str">
        <f>IFERROR(__xludf.DUMMYFUNCTION("""COMPUTED_VALUE"""),"https://goli.com/cart/44170979016900:1?attributes[click_id]=example_click_id")</f>
        <v>https://goli.com/cart/44170979016900:1?attributes[click_id]=example_click_id</v>
      </c>
    </row>
    <row r="57">
      <c r="A57" s="1" t="str">
        <f>IFERROR(__xludf.DUMMYFUNCTION("""COMPUTED_VALUE"""),"Kitchen &amp; Dining")</f>
        <v>Kitchen &amp; Dining</v>
      </c>
      <c r="B57" s="1" t="str">
        <f>IFERROR(__xludf.DUMMYFUNCTION("""COMPUTED_VALUE"""),"US")</f>
        <v>US</v>
      </c>
      <c r="C57" s="3" t="str">
        <f>IFERROR(__xludf.DUMMYFUNCTION("""COMPUTED_VALUE"""),"greatjonesgoods.com")</f>
        <v>greatjonesgoods.com</v>
      </c>
      <c r="D57" s="1" t="str">
        <f>IFERROR(__xludf.DUMMYFUNCTION("""COMPUTED_VALUE"""),"US")</f>
        <v>US</v>
      </c>
      <c r="E57" s="2" t="str">
        <f>IFERROR(__xludf.DUMMYFUNCTION("""COMPUTED_VALUE"""),"Big Deal &amp; Saucy")</f>
        <v>Big Deal &amp; Saucy</v>
      </c>
      <c r="F57" s="2" t="str">
        <f>IFERROR(__xludf.DUMMYFUNCTION("""COMPUTED_VALUE"""),"44838392430671")</f>
        <v>44838392430671</v>
      </c>
      <c r="G57" s="2">
        <f>IFERROR(__xludf.DUMMYFUNCTION("""COMPUTED_VALUE"""),190.0)</f>
        <v>190</v>
      </c>
      <c r="H57" s="2" t="str">
        <f>IFERROR(__xludf.DUMMYFUNCTION("""COMPUTED_VALUE"""),"USD")</f>
        <v>USD</v>
      </c>
      <c r="I57" s="5" t="str">
        <f>IFERROR(__xludf.DUMMYFUNCTION("""COMPUTED_VALUE"""),"https://greatjonesgoods.com/cart/44838392430671:1?attributes[click_id]=example_click_id")</f>
        <v>https://greatjonesgoods.com/cart/44838392430671:1?attributes[click_id]=example_click_id</v>
      </c>
    </row>
    <row r="58">
      <c r="A58" s="1" t="str">
        <f>IFERROR(__xludf.DUMMYFUNCTION("""COMPUTED_VALUE"""),"Coffee &amp; Tea")</f>
        <v>Coffee &amp; Tea</v>
      </c>
      <c r="B58" s="1" t="str">
        <f>IFERROR(__xludf.DUMMYFUNCTION("""COMPUTED_VALUE"""),"SG")</f>
        <v>SG</v>
      </c>
      <c r="C58" s="3" t="str">
        <f>IFERROR(__xludf.DUMMYFUNCTION("""COMPUTED_VALUE"""),"gryphontea.com")</f>
        <v>gryphontea.com</v>
      </c>
      <c r="D58" s="1" t="str">
        <f>IFERROR(__xludf.DUMMYFUNCTION("""COMPUTED_VALUE"""),"AT, AU, BE, CA, CH, CN, CZ, DE, DK, ES, FI, FR, GB, HK, ID, IE, IL, IN, IT, JP, KR, MY, NL, NO, NZ, PH, PL, PT, SE, SG, TW, US")</f>
        <v>AT, AU, BE, CA, CH, CN, CZ, DE, DK, ES, FI, FR, GB, HK, ID, IE, IL, IN, IT, JP, KR, MY, NL, NO, NZ, PH, PL, PT, SE, SG, TW, US</v>
      </c>
      <c r="E58" s="2" t="str">
        <f>IFERROR(__xludf.DUMMYFUNCTION("""COMPUTED_VALUE"""),"Premium Asatsuyu Matcha")</f>
        <v>Premium Asatsuyu Matcha</v>
      </c>
      <c r="F58" s="2" t="str">
        <f>IFERROR(__xludf.DUMMYFUNCTION("""COMPUTED_VALUE"""),"45379806134306")</f>
        <v>45379806134306</v>
      </c>
      <c r="G58" s="2">
        <f>IFERROR(__xludf.DUMMYFUNCTION("""COMPUTED_VALUE"""),35.0)</f>
        <v>35</v>
      </c>
      <c r="H58" s="2" t="str">
        <f>IFERROR(__xludf.DUMMYFUNCTION("""COMPUTED_VALUE"""),"SGD")</f>
        <v>SGD</v>
      </c>
      <c r="I58" s="5" t="str">
        <f>IFERROR(__xludf.DUMMYFUNCTION("""COMPUTED_VALUE"""),"https://gryphontea.com/cart/45379806134306:1?attributes[click_id]=example_click_id")</f>
        <v>https://gryphontea.com/cart/45379806134306:1?attributes[click_id]=example_click_id</v>
      </c>
    </row>
    <row r="59">
      <c r="A59" s="1" t="str">
        <f>IFERROR(__xludf.DUMMYFUNCTION("""COMPUTED_VALUE"""),"Fashion &amp; Apparel")</f>
        <v>Fashion &amp; Apparel</v>
      </c>
      <c r="B59" s="1" t="str">
        <f>IFERROR(__xludf.DUMMYFUNCTION("""COMPUTED_VALUE"""),"US")</f>
        <v>US</v>
      </c>
      <c r="C59" s="3" t="str">
        <f>IFERROR(__xludf.DUMMYFUNCTION("""COMPUTED_VALUE"""),"gymshark.com")</f>
        <v>gymshark.com</v>
      </c>
      <c r="D59" s="1" t="str">
        <f>IFERROR(__xludf.DUMMYFUNCTION("""COMPUTED_VALUE"""),"US")</f>
        <v>US</v>
      </c>
      <c r="E59" s="2" t="str">
        <f>IFERROR(__xludf.DUMMYFUNCTION("""COMPUTED_VALUE"""),"Gymshark Power T-Shirt - Chalk Marl - Medium")</f>
        <v>Gymshark Power T-Shirt - Chalk Marl - Medium</v>
      </c>
      <c r="F59" s="2" t="str">
        <f>IFERROR(__xludf.DUMMYFUNCTION("""COMPUTED_VALUE"""),"39799423992010")</f>
        <v>39799423992010</v>
      </c>
      <c r="G59" s="2">
        <f>IFERROR(__xludf.DUMMYFUNCTION("""COMPUTED_VALUE"""),36.0)</f>
        <v>36</v>
      </c>
      <c r="H59" s="2" t="str">
        <f>IFERROR(__xludf.DUMMYFUNCTION("""COMPUTED_VALUE"""),"USD")</f>
        <v>USD</v>
      </c>
      <c r="I59" s="5" t="str">
        <f>IFERROR(__xludf.DUMMYFUNCTION("""COMPUTED_VALUE"""),"https://us.checkout.gymshark.com/cart/39799423992010:1?attributes[click_id]=example_click_id")</f>
        <v>https://us.checkout.gymshark.com/cart/39799423992010:1?attributes[click_id]=example_click_id</v>
      </c>
    </row>
    <row r="60">
      <c r="A60" s="1" t="str">
        <f>IFERROR(__xludf.DUMMYFUNCTION("""COMPUTED_VALUE"""),"Coffee &amp; Tea")</f>
        <v>Coffee &amp; Tea</v>
      </c>
      <c r="B60" s="1" t="str">
        <f>IFERROR(__xludf.DUMMYFUNCTION("""COMPUTED_VALUE"""),"US")</f>
        <v>US</v>
      </c>
      <c r="C60" s="3" t="str">
        <f>IFERROR(__xludf.DUMMYFUNCTION("""COMPUTED_VALUE"""),"harney.com")</f>
        <v>harney.com</v>
      </c>
      <c r="D60" s="1" t="str">
        <f>IFERROR(__xludf.DUMMYFUNCTION("""COMPUTED_VALUE"""),"*, AD, AE, AL, AM, AR, AT, AU, AX, BA, BB, BE, BG, BH, BN, BS, BV, BY, CA, CH, CL, CO, CR, CY, CZ, DE, DK, EE, ES, FI, FO, FR, GB, GE, GG, GI, GL, GP, GR, HR, HU, IE, IL, IM, IN, IS, IT, JE, JO, KH, KW, KY, KZ, LI, LT, LU, LV, MC, MD, ME, MK, MT, MX, MY, "&amp;"NA, NC, NL, NO, OM, PE, PH, PL, PT, QA, RE, RO, RS, SA, SE, SG, SI, SK, SM, TH, TR, UA, US, VA, XK, ZA")</f>
        <v>*, AD, AE, AL, AM, AR, AT, AU, AX, BA, BB, BE, BG, BH, BN, BS, BV, BY, CA, CH, CL, CO, CR, CY, CZ, DE, DK, EE, ES, FI, FO, FR, GB, GE, GG, GI, GL, GP, GR, HR, HU, IE, IL, IM, IN, IS, IT, JE, JO, KH, KW, KY, KZ, LI, LT, LU, LV, MC, MD, ME, MK, MT, MX, MY, NA, NC, NL, NO, OM, PE, PH, PL, PT, QA, RE, RO, RS, SA, SE, SG, SI, SK, SM, TH, TR, UA, US, VA, XK, ZA</v>
      </c>
      <c r="E60" s="2" t="str">
        <f>IFERROR(__xludf.DUMMYFUNCTION("""COMPUTED_VALUE"""),"Santa Cruz Peanut Butter - 16 oz Jar / Crunchy Dark Roast")</f>
        <v>Santa Cruz Peanut Butter - 16 oz Jar / Crunchy Dark Roast</v>
      </c>
      <c r="F60" s="2" t="str">
        <f>IFERROR(__xludf.DUMMYFUNCTION("""COMPUTED_VALUE"""),"43011753934919")</f>
        <v>43011753934919</v>
      </c>
      <c r="G60" s="2">
        <f>IFERROR(__xludf.DUMMYFUNCTION("""COMPUTED_VALUE"""),10.0)</f>
        <v>10</v>
      </c>
      <c r="H60" s="2" t="str">
        <f>IFERROR(__xludf.DUMMYFUNCTION("""COMPUTED_VALUE"""),"USD")</f>
        <v>USD</v>
      </c>
      <c r="I60" s="5" t="str">
        <f>IFERROR(__xludf.DUMMYFUNCTION("""COMPUTED_VALUE"""),"https://www.harney.com/cart/43011753934919:1?attributes[click_id]=example_click_id")</f>
        <v>https://www.harney.com/cart/43011753934919:1?attributes[click_id]=example_click_id</v>
      </c>
    </row>
    <row r="61">
      <c r="A61" s="1" t="str">
        <f>IFERROR(__xludf.DUMMYFUNCTION("""COMPUTED_VALUE"""),"Sports &amp; Outdoors")</f>
        <v>Sports &amp; Outdoors</v>
      </c>
      <c r="B61" s="1" t="str">
        <f>IFERROR(__xludf.DUMMYFUNCTION("""COMPUTED_VALUE"""),"AU")</f>
        <v>AU</v>
      </c>
      <c r="C61" s="3" t="str">
        <f>IFERROR(__xludf.DUMMYFUNCTION("""COMPUTED_VALUE"""),"hartsport.com.au")</f>
        <v>hartsport.com.au</v>
      </c>
      <c r="D61" s="1" t="str">
        <f>IFERROR(__xludf.DUMMYFUNCTION("""COMPUTED_VALUE"""),"AU")</f>
        <v>AU</v>
      </c>
      <c r="E61" s="2" t="str">
        <f>IFERROR(__xludf.DUMMYFUNCTION("""COMPUTED_VALUE"""),"HART School Rubber Volleyball Pack - Junior")</f>
        <v>HART School Rubber Volleyball Pack - Junior</v>
      </c>
      <c r="F61" s="2" t="str">
        <f>IFERROR(__xludf.DUMMYFUNCTION("""COMPUTED_VALUE"""),"43466491494489")</f>
        <v>43466491494489</v>
      </c>
      <c r="G61" s="2">
        <f>IFERROR(__xludf.DUMMYFUNCTION("""COMPUTED_VALUE"""),84.5)</f>
        <v>84.5</v>
      </c>
      <c r="H61" s="2" t="str">
        <f>IFERROR(__xludf.DUMMYFUNCTION("""COMPUTED_VALUE"""),"AUD")</f>
        <v>AUD</v>
      </c>
      <c r="I61" s="5" t="str">
        <f>IFERROR(__xludf.DUMMYFUNCTION("""COMPUTED_VALUE"""),"https://hartsport.com.au/cart/43466491494489:1?attributes[click_id]=example_click_id")</f>
        <v>https://hartsport.com.au/cart/43466491494489:1?attributes[click_id]=example_click_id</v>
      </c>
    </row>
    <row r="62">
      <c r="A62" s="1" t="str">
        <f>IFERROR(__xludf.DUMMYFUNCTION("""COMPUTED_VALUE"""),"Audio &amp; Music")</f>
        <v>Audio &amp; Music</v>
      </c>
      <c r="B62" s="1" t="str">
        <f>IFERROR(__xludf.DUMMYFUNCTION("""COMPUTED_VALUE"""),"US")</f>
        <v>US</v>
      </c>
      <c r="C62" s="3" t="str">
        <f>IFERROR(__xludf.DUMMYFUNCTION("""COMPUTED_VALUE"""),"headphones.com")</f>
        <v>headphones.com</v>
      </c>
      <c r="D62" s="1" t="str">
        <f>IFERROR(__xludf.DUMMYFUNCTION("""COMPUTED_VALUE"""),"*, AU, BE, CA, CH, CZ, DE, DK, EE, ES, FI, FR, GB, GR, HR, HU, IE, IS, IT, MC, ME, NL, NO, NZ, PL, PT, SE, US")</f>
        <v>*, AU, BE, CA, CH, CZ, DE, DK, EE, ES, FI, FR, GB, GR, HR, HU, IE, IS, IT, MC, ME, NL, NO, NZ, PL, PT, SE, US</v>
      </c>
      <c r="E62" s="2" t="str">
        <f>IFERROR(__xludf.DUMMYFUNCTION("""COMPUTED_VALUE"""),"Lewitt LW6 Wireless Headphones")</f>
        <v>Lewitt LW6 Wireless Headphones</v>
      </c>
      <c r="F62" s="2" t="str">
        <f>IFERROR(__xludf.DUMMYFUNCTION("""COMPUTED_VALUE"""),"43242439508039")</f>
        <v>43242439508039</v>
      </c>
      <c r="G62" s="2">
        <f>IFERROR(__xludf.DUMMYFUNCTION("""COMPUTED_VALUE"""),699.0)</f>
        <v>699</v>
      </c>
      <c r="H62" s="2" t="str">
        <f>IFERROR(__xludf.DUMMYFUNCTION("""COMPUTED_VALUE"""),"USD")</f>
        <v>USD</v>
      </c>
      <c r="I62" s="5" t="str">
        <f>IFERROR(__xludf.DUMMYFUNCTION("""COMPUTED_VALUE"""),"https://headphones.com/cart/43242439508039:1?attributes[click_id]=example_click_id")</f>
        <v>https://headphones.com/cart/43242439508039:1?attributes[click_id]=example_click_id</v>
      </c>
    </row>
    <row r="63">
      <c r="A63" s="1" t="str">
        <f>IFERROR(__xludf.DUMMYFUNCTION("""COMPUTED_VALUE"""),"Audio &amp; Music")</f>
        <v>Audio &amp; Music</v>
      </c>
      <c r="B63" s="1" t="str">
        <f>IFERROR(__xludf.DUMMYFUNCTION("""COMPUTED_VALUE"""),"IN")</f>
        <v>IN</v>
      </c>
      <c r="C63" s="3" t="str">
        <f>IFERROR(__xludf.DUMMYFUNCTION("""COMPUTED_VALUE"""),"headphonezone.in")</f>
        <v>headphonezone.in</v>
      </c>
      <c r="D63" s="1" t="str">
        <f>IFERROR(__xludf.DUMMYFUNCTION("""COMPUTED_VALUE"""),"IN")</f>
        <v>IN</v>
      </c>
      <c r="E63" s="2" t="str">
        <f>IFERROR(__xludf.DUMMYFUNCTION("""COMPUTED_VALUE"""),"Truthear - PURE (Unboxed)")</f>
        <v>Truthear - PURE (Unboxed)</v>
      </c>
      <c r="F63" s="2" t="str">
        <f>IFERROR(__xludf.DUMMYFUNCTION("""COMPUTED_VALUE"""),"52745233957232")</f>
        <v>52745233957232</v>
      </c>
      <c r="G63" s="2">
        <f>IFERROR(__xludf.DUMMYFUNCTION("""COMPUTED_VALUE"""),8999.0)</f>
        <v>8999</v>
      </c>
      <c r="H63" s="2" t="str">
        <f>IFERROR(__xludf.DUMMYFUNCTION("""COMPUTED_VALUE"""),"INR")</f>
        <v>INR</v>
      </c>
      <c r="I63" s="5" t="str">
        <f>IFERROR(__xludf.DUMMYFUNCTION("""COMPUTED_VALUE"""),"https://www.headphonezone.in/cart/52745233957232:1?attributes[click_id]=example_click_id")</f>
        <v>https://www.headphonezone.in/cart/52745233957232:1?attributes[click_id]=example_click_id</v>
      </c>
    </row>
    <row r="64">
      <c r="A64" s="1" t="str">
        <f>IFERROR(__xludf.DUMMYFUNCTION("""COMPUTED_VALUE"""),"Audio &amp; Music")</f>
        <v>Audio &amp; Music</v>
      </c>
      <c r="B64" s="1" t="str">
        <f>IFERROR(__xludf.DUMMYFUNCTION("""COMPUTED_VALUE"""),"HK")</f>
        <v>HK</v>
      </c>
      <c r="C64" s="3" t="str">
        <f>IFERROR(__xludf.DUMMYFUNCTION("""COMPUTED_VALUE"""),"hifigo.com")</f>
        <v>hifigo.com</v>
      </c>
      <c r="D64" s="1" t="str">
        <f>IFERROR(__xludf.DUMMYFUNCTION("""COMPUTED_VALUE"""),"AD, AE, AF, AG, AI, AL, AM, AO, AR, AT, AU, AW, AX, AZ, BA, BB, BD, BE, BF, BG, BH, BI, BJ, BL, BM, BN, BO, BQ, BR, BS, BT, BV, BW, BY, BZ, CA, CC, CD, CF, CG, CH, CI, CK, CL, CM, CN, CO, CR, CV, CW, CX, CY, CZ, DE, DJ, DK, DM, DO, DZ, EC, EE, EG, EH, ER,"&amp;" ES, ET, FI, FJ, FK, FO, FR, GA, GB, GD, GE, GF, GG, GH, GI, GL, GM, GN, GP, GQ, GR, GS, GT, GW, GY, HK, HM, HN, HR, HT, HU, ID, IE, IL, IN, IO, IQ, IS, IT, JE, JM, JO, JP, KE, KG, KH, KI, KM, KN, KR, KW, KY, KZ, LA, LB, LC, LI, LK, LR, LS, LT, LU, LV, LY"&amp;", MA, MC, MD, ME, MF, MG, MK, ML, MM, MN, MO, MQ, MR, MS, MT, MU, MV, MW, MX, MY, MZ, NA, NC, NE, NF, NG, NI, NL, NO, NP, NR, NU, NZ, OM, PA, PE, PF, PG, PH, PK, PL, PM, PN, PS, PT, PY, QA, RE, RO, RS, RU, RW, SA, SB, SC, SD, SE, SG, SH, SI, SJ, SK, SL, S"&amp;"M, SN, SO, SR, SS, ST, SV, SX, SZ, TC, TD, TF, TG, TH, TJ, TK, TL, TM, TN, TO, TR, TT, TV, TW, TZ, UA, UG, UM, US, UY, UZ, VA, VC, VE, VG, VN, VU, WF, WS, XK, YE, YT, ZA, ZM, ZW")</f>
        <v>AD, AE, AF, AG, AI, AL, AM, AO, AR, AT, AU, AW, AX, AZ, BA, BB, BD, BE, BF, BG, BH, BI, BJ, BL, BM, BN, BO, BQ, BR, BS, BT, BV, BW, BY, BZ, CA, CC, CD, CF, CG, CH, CI, CK, CL, CM, CN, CO, CR, CV, CW, CX, CY, CZ, DE, DJ, DK, DM, DO, DZ, EC, EE, EG, EH, ER, ES, ET, FI, FJ, FK, FO, FR, GA, GB, GD, GE, GF, GG, GH, GI, GL, GM, GN, GP, GQ, GR, GS, GT, GW, GY, HK, HM, HN, HR, HT, HU, ID, IE, IL, IN, IO, IQ, IS, IT, JE, JM, JO, JP, KE, KG, KH, KI, KM, KN, KR, KW, KY, KZ, LA, LB, LC, LI, LK, LR, LS, LT, LU, LV, LY, MA, MC, MD, ME, MF, MG, MK, ML, MM, MN, MO, MQ, MR, MS, MT, MU, MV, MW, MX, MY, MZ, NA, NC, NE, NF, NG, NI, NL, NO, NP, NR, NU, NZ, OM, PA, PE, PF, PG, PH, PK, PL, PM, PN, PS, PT, PY, QA, RE, RO, RS, RU, RW, SA, SB, SC, SD, SE, SG, SH, SI, SJ, SK, SL, SM, SN, SO, SR, SS, ST, SV, SX, SZ, TC, TD, TF, TG, TH, TJ, TK, TL, TM, TN, TO, TR, TT, TV, TW, TZ, UA, UG, UM, US, UY, UZ, VA, VC, VE, VG, VN, VU, WF, WS, XK, YE, YT, ZA, ZM, ZW</v>
      </c>
      <c r="E64" s="2" t="str">
        <f>IFERROR(__xludf.DUMMYFUNCTION("""COMPUTED_VALUE"""),"SMSL R3 CS43131 Gaming DAC &amp; Headphone Amp - Black")</f>
        <v>SMSL R3 CS43131 Gaming DAC &amp; Headphone Amp - Black</v>
      </c>
      <c r="F64" s="2" t="str">
        <f>IFERROR(__xludf.DUMMYFUNCTION("""COMPUTED_VALUE"""),"50865785831663")</f>
        <v>50865785831663</v>
      </c>
      <c r="G64" s="2">
        <f>IFERROR(__xludf.DUMMYFUNCTION("""COMPUTED_VALUE"""),159.99)</f>
        <v>159.99</v>
      </c>
      <c r="H64" s="2" t="str">
        <f>IFERROR(__xludf.DUMMYFUNCTION("""COMPUTED_VALUE"""),"USD")</f>
        <v>USD</v>
      </c>
      <c r="I64" s="5" t="str">
        <f>IFERROR(__xludf.DUMMYFUNCTION("""COMPUTED_VALUE"""),"https://hifigo.com/cart/50865785831663:1?attributes[click_id]=example_click_id")</f>
        <v>https://hifigo.com/cart/50865785831663:1?attributes[click_id]=example_click_id</v>
      </c>
    </row>
    <row r="65">
      <c r="A65" s="1" t="str">
        <f>IFERROR(__xludf.DUMMYFUNCTION("""COMPUTED_VALUE"""),"Audio &amp; Music")</f>
        <v>Audio &amp; Music</v>
      </c>
      <c r="B65" s="1" t="str">
        <f>IFERROR(__xludf.DUMMYFUNCTION("""COMPUTED_VALUE"""),"IE")</f>
        <v>IE</v>
      </c>
      <c r="C65" s="3" t="str">
        <f>IFERROR(__xludf.DUMMYFUNCTION("""COMPUTED_VALUE"""),"hifihut.ie")</f>
        <v>hifihut.ie</v>
      </c>
      <c r="D65" s="1" t="str">
        <f>IFERROR(__xludf.DUMMYFUNCTION("""COMPUTED_VALUE"""),"AD, AT, BA, BE, BG, CH, CZ, DE, DK, EE, ES, FI, FR, GB, GR, HR, HU, IE, IS, IT, LI, LT, LU, LV, MC, NL, NO, PL, PT, RS, SE, SG, SI, SK, SM")</f>
        <v>AD, AT, BA, BE, BG, CH, CZ, DE, DK, EE, ES, FI, FR, GB, GR, HR, HU, IE, IS, IT, LI, LT, LU, LV, MC, NL, NO, PL, PT, RS, SE, SG, SI, SK, SM</v>
      </c>
      <c r="E65" s="2" t="str">
        <f>IFERROR(__xludf.DUMMYFUNCTION("""COMPUTED_VALUE"""),"iFi iDSD GR 2 Portable DAC/Amp")</f>
        <v>iFi iDSD GR 2 Portable DAC/Amp</v>
      </c>
      <c r="F65" s="2" t="str">
        <f>IFERROR(__xludf.DUMMYFUNCTION("""COMPUTED_VALUE"""),"54806685909315")</f>
        <v>54806685909315</v>
      </c>
      <c r="G65" s="2">
        <f>IFERROR(__xludf.DUMMYFUNCTION("""COMPUTED_VALUE"""),549.0)</f>
        <v>549</v>
      </c>
      <c r="H65" s="2" t="str">
        <f>IFERROR(__xludf.DUMMYFUNCTION("""COMPUTED_VALUE"""),"EUR")</f>
        <v>EUR</v>
      </c>
      <c r="I65" s="5" t="str">
        <f>IFERROR(__xludf.DUMMYFUNCTION("""COMPUTED_VALUE"""),"https://www.hifihut.ie/cart/54806685909315:1?attributes[click_id]=example_click_id")</f>
        <v>https://www.hifihut.ie/cart/54806685909315:1?attributes[click_id]=example_click_id</v>
      </c>
    </row>
    <row r="66">
      <c r="A66" s="1" t="str">
        <f>IFERROR(__xludf.DUMMYFUNCTION("""COMPUTED_VALUE"""),"Coffee &amp; Tea")</f>
        <v>Coffee &amp; Tea</v>
      </c>
      <c r="B66" s="1" t="str">
        <f>IFERROR(__xludf.DUMMYFUNCTION("""COMPUTED_VALUE"""),"SG")</f>
        <v>SG</v>
      </c>
      <c r="C66" s="3" t="str">
        <f>IFERROR(__xludf.DUMMYFUNCTION("""COMPUTED_VALUE"""),"huggscoffee.com")</f>
        <v>huggscoffee.com</v>
      </c>
      <c r="D66" s="1" t="str">
        <f>IFERROR(__xludf.DUMMYFUNCTION("""COMPUTED_VALUE"""),"SG")</f>
        <v>SG</v>
      </c>
      <c r="E66" s="2" t="str">
        <f>IFERROR(__xludf.DUMMYFUNCTION("""COMPUTED_VALUE"""),"Colombia Naranja Salsa (Oporapa)")</f>
        <v>Colombia Naranja Salsa (Oporapa)</v>
      </c>
      <c r="F66" s="2" t="str">
        <f>IFERROR(__xludf.DUMMYFUNCTION("""COMPUTED_VALUE"""),"51429049860374")</f>
        <v>51429049860374</v>
      </c>
      <c r="G66" s="2">
        <f>IFERROR(__xludf.DUMMYFUNCTION("""COMPUTED_VALUE"""),26.9)</f>
        <v>26.9</v>
      </c>
      <c r="H66" s="2" t="str">
        <f>IFERROR(__xludf.DUMMYFUNCTION("""COMPUTED_VALUE"""),"SGD")</f>
        <v>SGD</v>
      </c>
      <c r="I66" s="5" t="str">
        <f>IFERROR(__xludf.DUMMYFUNCTION("""COMPUTED_VALUE"""),"https://huggscoffee.com/cart/51429049860374:1?attributes[click_id]=example_click_id")</f>
        <v>https://huggscoffee.com/cart/51429049860374:1?attributes[click_id]=example_click_id</v>
      </c>
    </row>
    <row r="67">
      <c r="A67" s="1" t="str">
        <f>IFERROR(__xludf.DUMMYFUNCTION("""COMPUTED_VALUE"""),"Computers &amp; Electronics")</f>
        <v>Computers &amp; Electronics</v>
      </c>
      <c r="B67" s="1" t="str">
        <f>IFERROR(__xludf.DUMMYFUNCTION("""COMPUTED_VALUE"""),"US")</f>
        <v>US</v>
      </c>
      <c r="C67" s="3" t="str">
        <f>IFERROR(__xludf.DUMMYFUNCTION("""COMPUTED_VALUE"""),"hypershop.com")</f>
        <v>hypershop.com</v>
      </c>
      <c r="D67" s="1" t="str">
        <f>IFERROR(__xludf.DUMMYFUNCTION("""COMPUTED_VALUE"""),"*, AE, AG, AO, AR, AU, AW, AZ, BA, BB, BD, BF, BH, BI, BJ, BM, BO, BS, BW, BZ, CK, CL, CM, CO, CR, CU, CV, CW, DO, DZ, EC, EE, EG, ET, FO, GD, GH, GM, GT, GW, GY, HN, HT, IL, IN, IQ, JM, KE, KG, KI, KW, KY, KZ, LA, LB, LK, LR, LS, LY, MA, MD, ME, MG, MN, "&amp;"MR, MU, MV, MZ, NA, NC, NG, NI, NP, OM, PA, PE, PF, PG, PH, PK, PY, QA, RW, SA, SB, SC, SD, SL, SN, SR, SS, SX, SZ, TC, TD, TJ, TL, TN, TO, TT, TZ, UG, US, UY, VE, VU, WS, YE, ZA, ZM, ZW")</f>
        <v>*, AE, AG, AO, AR, AU, AW, AZ, BA, BB, BD, BF, BH, BI, BJ, BM, BO, BS, BW, BZ, CK, CL, CM, CO, CR, CU, CV, CW, DO, DZ, EC, EE, EG, ET, FO, GD, GH, GM, GT, GW, GY, HN, HT, IL, IN, IQ, JM, KE, KG, KI, KW, KY, KZ, LA, LB, LK, LR, LS, LY, MA, MD, ME, MG, MN, MR, MU, MV, MZ, NA, NC, NG, NI, NP, OM, PA, PE, PF, PG, PH, PK, PY, QA, RW, SA, SB, SC, SD, SL, SN, SR, SS, SX, SZ, TC, TD, TJ, TL, TN, TO, TT, TZ, UG, US, UY, VE, VU, WS, YE, ZA, ZM, ZW</v>
      </c>
      <c r="E67" s="2" t="str">
        <f>IFERROR(__xludf.DUMMYFUNCTION("""COMPUTED_VALUE"""),"HyperDrive GEN2 15-in-1 USB-C Docking Station")</f>
        <v>HyperDrive GEN2 15-in-1 USB-C Docking Station</v>
      </c>
      <c r="F67" s="2" t="str">
        <f>IFERROR(__xludf.DUMMYFUNCTION("""COMPUTED_VALUE"""),"39725702709310")</f>
        <v>39725702709310</v>
      </c>
      <c r="G67" s="2">
        <f>IFERROR(__xludf.DUMMYFUNCTION("""COMPUTED_VALUE"""),299.99)</f>
        <v>299.99</v>
      </c>
      <c r="H67" s="2" t="str">
        <f>IFERROR(__xludf.DUMMYFUNCTION("""COMPUTED_VALUE"""),"USD")</f>
        <v>USD</v>
      </c>
      <c r="I67" s="5" t="str">
        <f>IFERROR(__xludf.DUMMYFUNCTION("""COMPUTED_VALUE"""),"https://www.hypershop.com/cart/39725702709310:1?attributes[click_id]=example_click_id")</f>
        <v>https://www.hypershop.com/cart/39725702709310:1?attributes[click_id]=example_click_id</v>
      </c>
    </row>
    <row r="68">
      <c r="A68" s="1" t="str">
        <f>IFERROR(__xludf.DUMMYFUNCTION("""COMPUTED_VALUE"""),"Home Appliances &amp; DIY")</f>
        <v>Home Appliances &amp; DIY</v>
      </c>
      <c r="B68" s="1" t="str">
        <f>IFERROR(__xludf.DUMMYFUNCTION("""COMPUTED_VALUE"""),"SG")</f>
        <v>SG</v>
      </c>
      <c r="C68" s="3" t="str">
        <f>IFERROR(__xludf.DUMMYFUNCTION("""COMPUTED_VALUE"""),"intertech-hardware.com")</f>
        <v>intertech-hardware.com</v>
      </c>
      <c r="D68" s="1" t="str">
        <f>IFERROR(__xludf.DUMMYFUNCTION("""COMPUTED_VALUE"""),"SG")</f>
        <v>SG</v>
      </c>
      <c r="E68" s="2" t="str">
        <f>IFERROR(__xludf.DUMMYFUNCTION("""COMPUTED_VALUE"""),"WD-40 Bike Degreaser")</f>
        <v>WD-40 Bike Degreaser</v>
      </c>
      <c r="F68" s="2" t="str">
        <f>IFERROR(__xludf.DUMMYFUNCTION("""COMPUTED_VALUE"""),"44913671733299")</f>
        <v>44913671733299</v>
      </c>
      <c r="G68" s="2">
        <f>IFERROR(__xludf.DUMMYFUNCTION("""COMPUTED_VALUE"""),19.0)</f>
        <v>19</v>
      </c>
      <c r="H68" s="2" t="str">
        <f>IFERROR(__xludf.DUMMYFUNCTION("""COMPUTED_VALUE"""),"SGD")</f>
        <v>SGD</v>
      </c>
      <c r="I68" s="5" t="str">
        <f>IFERROR(__xludf.DUMMYFUNCTION("""COMPUTED_VALUE"""),"https://intertech-hardware.com/cart/44913671733299:1?attributes[click_id]=example_click_id")</f>
        <v>https://intertech-hardware.com/cart/44913671733299:1?attributes[click_id]=example_click_id</v>
      </c>
    </row>
    <row r="69">
      <c r="A69" s="1" t="str">
        <f>IFERROR(__xludf.DUMMYFUNCTION("""COMPUTED_VALUE"""),"Grocery &amp; Pantry")</f>
        <v>Grocery &amp; Pantry</v>
      </c>
      <c r="B69" s="1" t="str">
        <f>IFERROR(__xludf.DUMMYFUNCTION("""COMPUTED_VALUE"""),"SG")</f>
        <v>SG</v>
      </c>
      <c r="C69" s="3" t="str">
        <f>IFERROR(__xludf.DUMMYFUNCTION("""COMPUTED_VALUE"""),"irvinsaltedegg.com")</f>
        <v>irvinsaltedegg.com</v>
      </c>
      <c r="D69" s="1" t="str">
        <f>IFERROR(__xludf.DUMMYFUNCTION("""COMPUTED_VALUE"""),"SG")</f>
        <v>SG</v>
      </c>
      <c r="E69" s="2" t="str">
        <f>IFERROR(__xludf.DUMMYFUNCTION("""COMPUTED_VALUE"""),"IRVINS Salted Egg Tomato Fish Skin (80g)")</f>
        <v>IRVINS Salted Egg Tomato Fish Skin (80g)</v>
      </c>
      <c r="F69" s="2" t="str">
        <f>IFERROR(__xludf.DUMMYFUNCTION("""COMPUTED_VALUE"""),"47790244331746")</f>
        <v>47790244331746</v>
      </c>
      <c r="G69" s="2">
        <f>IFERROR(__xludf.DUMMYFUNCTION("""COMPUTED_VALUE"""),8.0)</f>
        <v>8</v>
      </c>
      <c r="H69" s="2" t="str">
        <f>IFERROR(__xludf.DUMMYFUNCTION("""COMPUTED_VALUE"""),"SGD")</f>
        <v>SGD</v>
      </c>
      <c r="I69" s="5" t="str">
        <f>IFERROR(__xludf.DUMMYFUNCTION("""COMPUTED_VALUE"""),"https://eatirvins.sg/cart/47790244331746:1?attributes[click_id]=example_click_id")</f>
        <v>https://eatirvins.sg/cart/47790244331746:1?attributes[click_id]=example_click_id</v>
      </c>
    </row>
    <row r="70">
      <c r="A70" s="1" t="str">
        <f>IFERROR(__xludf.DUMMYFUNCTION("""COMPUTED_VALUE"""),"Bakery &amp; Desserts")</f>
        <v>Bakery &amp; Desserts</v>
      </c>
      <c r="B70" s="1" t="str">
        <f>IFERROR(__xludf.DUMMYFUNCTION("""COMPUTED_VALUE"""),"SG")</f>
        <v>SG</v>
      </c>
      <c r="C70" s="3" t="str">
        <f>IFERROR(__xludf.DUMMYFUNCTION("""COMPUTED_VALUE"""),"janicewong.online")</f>
        <v>janicewong.online</v>
      </c>
      <c r="D70" s="1" t="str">
        <f>IFERROR(__xludf.DUMMYFUNCTION("""COMPUTED_VALUE"""),"SG, TH")</f>
        <v>SG, TH</v>
      </c>
      <c r="E70" s="2" t="str">
        <f>IFERROR(__xludf.DUMMYFUNCTION("""COMPUTED_VALUE"""),"69% Peru Single Origin Peppermint Chocolate")</f>
        <v>69% Peru Single Origin Peppermint Chocolate</v>
      </c>
      <c r="F70" s="2" t="str">
        <f>IFERROR(__xludf.DUMMYFUNCTION("""COMPUTED_VALUE"""),"45224648147105")</f>
        <v>45224648147105</v>
      </c>
      <c r="G70" s="2">
        <f>IFERROR(__xludf.DUMMYFUNCTION("""COMPUTED_VALUE"""),14.0)</f>
        <v>14</v>
      </c>
      <c r="H70" s="2" t="str">
        <f>IFERROR(__xludf.DUMMYFUNCTION("""COMPUTED_VALUE"""),"SGD")</f>
        <v>SGD</v>
      </c>
      <c r="I70" s="5" t="str">
        <f>IFERROR(__xludf.DUMMYFUNCTION("""COMPUTED_VALUE"""),"https://janicewong.online/cart/45224648147105:1?attributes[click_id]=example_click_id")</f>
        <v>https://janicewong.online/cart/45224648147105:1?attributes[click_id]=example_click_id</v>
      </c>
    </row>
    <row r="71">
      <c r="A71" s="1" t="str">
        <f>IFERROR(__xludf.DUMMYFUNCTION("""COMPUTED_VALUE"""),"Bakery &amp; Desserts")</f>
        <v>Bakery &amp; Desserts</v>
      </c>
      <c r="B71" s="1" t="str">
        <f>IFERROR(__xludf.DUMMYFUNCTION("""COMPUTED_VALUE"""),"US")</f>
        <v>US</v>
      </c>
      <c r="C71" s="3" t="str">
        <f>IFERROR(__xludf.DUMMYFUNCTION("""COMPUTED_VALUE"""),"jenis.com")</f>
        <v>jenis.com</v>
      </c>
      <c r="D71" s="1" t="str">
        <f>IFERROR(__xludf.DUMMYFUNCTION("""COMPUTED_VALUE"""),"*, CA, US")</f>
        <v>*, CA, US</v>
      </c>
      <c r="E71" s="2" t="str">
        <f>IFERROR(__xludf.DUMMYFUNCTION("""COMPUTED_VALUE"""),"Confetti Brownie Batter")</f>
        <v>Confetti Brownie Batter</v>
      </c>
      <c r="F71" s="2" t="str">
        <f>IFERROR(__xludf.DUMMYFUNCTION("""COMPUTED_VALUE"""),"43521362624718")</f>
        <v>43521362624718</v>
      </c>
      <c r="G71" s="2">
        <f>IFERROR(__xludf.DUMMYFUNCTION("""COMPUTED_VALUE"""),17.0)</f>
        <v>17</v>
      </c>
      <c r="H71" s="2" t="str">
        <f>IFERROR(__xludf.DUMMYFUNCTION("""COMPUTED_VALUE"""),"USD")</f>
        <v>USD</v>
      </c>
      <c r="I71" s="5" t="str">
        <f>IFERROR(__xludf.DUMMYFUNCTION("""COMPUTED_VALUE"""),"https://jenis.com/cart/43521362624718:1?attributes[click_id]=example_click_id")</f>
        <v>https://jenis.com/cart/43521362624718:1?attributes[click_id]=example_click_id</v>
      </c>
    </row>
    <row r="72">
      <c r="A72" s="1" t="str">
        <f>IFERROR(__xludf.DUMMYFUNCTION("""COMPUTED_VALUE"""),"Home &amp; Living")</f>
        <v>Home &amp; Living</v>
      </c>
      <c r="B72" s="1" t="str">
        <f>IFERROR(__xludf.DUMMYFUNCTION("""COMPUTED_VALUE"""),"SG")</f>
        <v>SG</v>
      </c>
      <c r="C72" s="3" t="str">
        <f>IFERROR(__xludf.DUMMYFUNCTION("""COMPUTED_VALUE"""),"journeyeast.com")</f>
        <v>journeyeast.com</v>
      </c>
      <c r="D72" s="1" t="str">
        <f>IFERROR(__xludf.DUMMYFUNCTION("""COMPUTED_VALUE"""),"*, AC, AD, AE, AF, AG, AI, AL, AM, AO, AR, AT, AU, AW, AX, AZ, BA, BB, BD, BE, BF, BG, BH, BI, BJ, BL, BM, BN, BO, BQ, BR, BS, BT, BW, BY, BZ, CA, CC, CD, CF, CG, CH, CI, CL, CM, CN, CO, CR, CV, CW, CX, CY, CZ, DE, DJ, DK, DM, DO, DZ, EC, EE, EG, EH, ER, "&amp;"ES, ET, FI, FJ, FK, FO, FR, GA, GB, GD, GE, GF, GG, GH, GI, GL, GM, GN, GP, GQ, GR, GS, GT, GW, GY, HK, HN, HR, HT, HU, ID, IE, IL, IM, IN, IO, IQ, IS, IT, JE, JM, JO, JP, KE, KG, KH, KI, KM, KN, KR, KW, KY, KZ, LA, LB, LC, LI, LK, LR, LS, LT, LU, LV, LY,"&amp;" MA, MC, MD, ME, MF, MG, MK, ML, MM, MN, MO, MQ, MR, MS, MT, MU, MV, MW, MX, MY, MZ, NA, NC, NE, NF, NG, NI, NL, NO, NP, NR, NU, NZ, OM, PA, PE, PF, PG, PH, PK, PL, PM, PN, PS, PT, PY, QA, RE, RO, RS, RU, RW, SA, SB, SC, SD, SE, SG, SH, SI, SJ, SK, SL, SM"&amp;", SN, SO, SR, SS, ST, SV, SX, SZ, TA, TC, TD, TF, TG, TH, TJ, TK, TL, TM, TN, TO, TR, TT, TV, TW, TZ, UA, UG, UM, US, UY, UZ, VA, VC, VE, VG, VN, VU, WF, WS, XK, YE, YT, ZA, ZM, ZW")</f>
        <v>*, AC, AD, AE, AF, AG, AI, AL, AM, AO, AR, AT, AU, AW, AX, AZ, BA, BB, BD, BE, BF, BG, BH, BI, BJ, BL, BM, BN, BO, BQ, BR, BS, BT, BW, BY, BZ, CA, CC, CD, CF, CG, CH, CI, CL, CM, CN, CO, CR, CV, CW, CX, CY, CZ, DE, DJ, DK, DM, DO, DZ, EC, EE, EG, EH, ER, ES, ET, FI, FJ, FK, FO, FR, GA, GB, GD, GE, GF, GG, GH, GI, GL, GM, GN, GP, GQ, GR, GS, GT, GW, GY, HK, HN, HR, HT, HU, ID, IE, IL, IM, IN, IO, IQ, IS, IT, JE, JM, JO, JP, KE, KG, KH, KI, KM, KN, KR, KW, KY, KZ, LA, LB, LC, LI, LK, LR, LS, LT, LU, LV, LY, MA, MC, MD, ME, MF, MG, MK, ML, MM, MN, MO, MQ, MR, MS, MT, MU, MV, MW, MX, MY, MZ, NA, NC, NE, NF, NG, NI, NL, NO, NP, NR, NU, NZ, OM, PA, PE, PF, PG, PH, PK, PL, PM, PN, PS, PT, PY, QA, RE, RO, RS, RU, RW, SA, SB, SC, SD, SE, SG, SH, SI, SJ, SK, SL, SM, SN, SO, SR, SS, ST, SV, SX, SZ, TA, TC, TD, TF, TG, TH, TJ, TK, TL, TM, TN, TO, TR, TT, TV, TW, TZ, UA, UG, UM, US, UY, UZ, VA, VC, VE, VG, VN, VU, WF, WS, XK, YE, YT, ZA, ZM, ZW</v>
      </c>
      <c r="E72" s="2" t="str">
        <f>IFERROR(__xludf.DUMMYFUNCTION("""COMPUTED_VALUE"""),"Gangzai Raja Square Trinket Tray")</f>
        <v>Gangzai Raja Square Trinket Tray</v>
      </c>
      <c r="F72" s="2" t="str">
        <f>IFERROR(__xludf.DUMMYFUNCTION("""COMPUTED_VALUE"""),"50280634024186")</f>
        <v>50280634024186</v>
      </c>
      <c r="G72" s="2">
        <f>IFERROR(__xludf.DUMMYFUNCTION("""COMPUTED_VALUE"""),75.0)</f>
        <v>75</v>
      </c>
      <c r="H72" s="2" t="str">
        <f>IFERROR(__xludf.DUMMYFUNCTION("""COMPUTED_VALUE"""),"SGD")</f>
        <v>SGD</v>
      </c>
      <c r="I72" s="5" t="str">
        <f>IFERROR(__xludf.DUMMYFUNCTION("""COMPUTED_VALUE"""),"https://journeyeast.com/cart/50280634024186:1?attributes[click_id]=example_click_id")</f>
        <v>https://journeyeast.com/cart/50280634024186:1?attributes[click_id]=example_click_id</v>
      </c>
    </row>
    <row r="73">
      <c r="A73" s="1" t="str">
        <f>IFERROR(__xludf.DUMMYFUNCTION("""COMPUTED_VALUE"""),"Beauty &amp; Personal Care")</f>
        <v>Beauty &amp; Personal Care</v>
      </c>
      <c r="B73" s="1" t="str">
        <f>IFERROR(__xludf.DUMMYFUNCTION("""COMPUTED_VALUE"""),"HK")</f>
        <v>HK</v>
      </c>
      <c r="C73" s="3" t="str">
        <f>IFERROR(__xludf.DUMMYFUNCTION("""COMPUTED_VALUE"""),"judydoll.com")</f>
        <v>judydoll.com</v>
      </c>
      <c r="D73" s="1" t="str">
        <f>IFERROR(__xludf.DUMMYFUNCTION("""COMPUTED_VALUE"""),"AE, AT, AU, BE, BG, CA, CH, CZ, DE, DK, EE, ES, FI, FR, GB, GR, HR, HU, ID, IE, IT, JP, KR, LT, LU, LV, MX, MY, NL, NZ, PH, PL, PT, RO, SE, SG, SI, SK, TH, US, VN")</f>
        <v>AE, AT, AU, BE, BG, CA, CH, CZ, DE, DK, EE, ES, FI, FR, GB, GR, HR, HU, ID, IE, IT, JP, KR, LT, LU, LV, MX, MY, NL, NZ, PH, PL, PT, RO, SE, SG, SI, SK, TH, US, VN</v>
      </c>
      <c r="E73" s="2" t="str">
        <f>IFERROR(__xludf.DUMMYFUNCTION("""COMPUTED_VALUE"""),"Mini Makeup Palette")</f>
        <v>Mini Makeup Palette</v>
      </c>
      <c r="F73" s="2" t="str">
        <f>IFERROR(__xludf.DUMMYFUNCTION("""COMPUTED_VALUE"""),"49308028338453")</f>
        <v>49308028338453</v>
      </c>
      <c r="G73" s="2">
        <f>IFERROR(__xludf.DUMMYFUNCTION("""COMPUTED_VALUE"""),14.99)</f>
        <v>14.99</v>
      </c>
      <c r="H73" s="2" t="str">
        <f>IFERROR(__xludf.DUMMYFUNCTION("""COMPUTED_VALUE"""),"USD")</f>
        <v>USD</v>
      </c>
      <c r="I73" s="5" t="str">
        <f>IFERROR(__xludf.DUMMYFUNCTION("""COMPUTED_VALUE"""),"https://judydoll.com/cart/49308028338453:1?attributes[click_id]=example_click_id")</f>
        <v>https://judydoll.com/cart/49308028338453:1?attributes[click_id]=example_click_id</v>
      </c>
    </row>
    <row r="74">
      <c r="A74" s="1" t="str">
        <f>IFERROR(__xludf.DUMMYFUNCTION("""COMPUTED_VALUE"""),"Beauty &amp; Personal Care")</f>
        <v>Beauty &amp; Personal Care</v>
      </c>
      <c r="B74" s="1" t="str">
        <f>IFERROR(__xludf.DUMMYFUNCTION("""COMPUTED_VALUE"""),"US")</f>
        <v>US</v>
      </c>
      <c r="C74" s="3" t="str">
        <f>IFERROR(__xludf.DUMMYFUNCTION("""COMPUTED_VALUE"""),"kbeautymakeup.com")</f>
        <v>kbeautymakeup.com</v>
      </c>
      <c r="D74" s="1" t="str">
        <f>IFERROR(__xludf.DUMMYFUNCTION("""COMPUTED_VALUE"""),"CA, US")</f>
        <v>CA, US</v>
      </c>
      <c r="E74" s="2" t="str">
        <f>IFERROR(__xludf.DUMMYFUNCTION("""COMPUTED_VALUE"""),"Abib PDRN Collagen Lip Mask 11g")</f>
        <v>Abib PDRN Collagen Lip Mask 11g</v>
      </c>
      <c r="F74" s="2" t="str">
        <f>IFERROR(__xludf.DUMMYFUNCTION("""COMPUTED_VALUE"""),"51027169542311")</f>
        <v>51027169542311</v>
      </c>
      <c r="G74" s="2">
        <f>IFERROR(__xludf.DUMMYFUNCTION("""COMPUTED_VALUE"""),29.7)</f>
        <v>29.7</v>
      </c>
      <c r="H74" s="2" t="str">
        <f>IFERROR(__xludf.DUMMYFUNCTION("""COMPUTED_VALUE"""),"USD")</f>
        <v>USD</v>
      </c>
      <c r="I74" s="5" t="str">
        <f>IFERROR(__xludf.DUMMYFUNCTION("""COMPUTED_VALUE"""),"https://www.kbeautymakeup.com/cart/51027169542311:1?attributes[click_id]=example_click_id")</f>
        <v>https://www.kbeautymakeup.com/cart/51027169542311:1?attributes[click_id]=example_click_id</v>
      </c>
    </row>
    <row r="75">
      <c r="A75" s="1" t="str">
        <f>IFERROR(__xludf.DUMMYFUNCTION("""COMPUTED_VALUE"""),"Computers &amp; Electronics")</f>
        <v>Computers &amp; Electronics</v>
      </c>
      <c r="B75" s="1" t="str">
        <f>IFERROR(__xludf.DUMMYFUNCTION("""COMPUTED_VALUE"""),"US")</f>
        <v>US</v>
      </c>
      <c r="C75" s="3" t="str">
        <f>IFERROR(__xludf.DUMMYFUNCTION("""COMPUTED_VALUE"""),"keychron.com")</f>
        <v>keychron.com</v>
      </c>
      <c r="D75" s="1" t="str">
        <f>IFERROR(__xludf.DUMMYFUNCTION("""COMPUTED_VALUE"""),"AE, AR, AT, AU, BE, BG, BH, BN, BR, CA, CH, CN, CO, CY, CZ, DE, DK, EE, ES, FI, FR, GB, GR, HK, HR, HU, IE, IL, IS, IT, JM, JP, KH, KR, KW, LT, LU, LV, MO, MT, MV, MX, MY, NL, NO, NZ, PH, PL, PT, QA, RO, RS, SA, SE, SG, SI, SK, TH, US, VN")</f>
        <v>AE, AR, AT, AU, BE, BG, BH, BN, BR, CA, CH, CN, CO, CY, CZ, DE, DK, EE, ES, FI, FR, GB, GR, HK, HR, HU, IE, IL, IS, IT, JM, JP, KH, KR, KW, LT, LU, LV, MO, MT, MV, MX, MY, NL, NO, NZ, PH, PL, PT, QA, RO, RS, SA, SE, SG, SI, SK, TH, US, VN</v>
      </c>
      <c r="E75" s="2" t="str">
        <f>IFERROR(__xludf.DUMMYFUNCTION("""COMPUTED_VALUE"""),"Keychron B40 Wireless Keyboard - Deep Black")</f>
        <v>Keychron B40 Wireless Keyboard - Deep Black</v>
      </c>
      <c r="F75" s="2" t="str">
        <f>IFERROR(__xludf.DUMMYFUNCTION("""COMPUTED_VALUE"""),"44554000957529")</f>
        <v>44554000957529</v>
      </c>
      <c r="G75" s="2">
        <f>IFERROR(__xludf.DUMMYFUNCTION("""COMPUTED_VALUE"""),49.99)</f>
        <v>49.99</v>
      </c>
      <c r="H75" s="2" t="str">
        <f>IFERROR(__xludf.DUMMYFUNCTION("""COMPUTED_VALUE"""),"USD")</f>
        <v>USD</v>
      </c>
      <c r="I75" s="5" t="str">
        <f>IFERROR(__xludf.DUMMYFUNCTION("""COMPUTED_VALUE"""),"https://keychron.com/cart/44554000957529:1?attributes[click_id]=example_click_id")</f>
        <v>https://keychron.com/cart/44554000957529:1?attributes[click_id]=example_click_id</v>
      </c>
    </row>
    <row r="76">
      <c r="A76" s="1" t="str">
        <f>IFERROR(__xludf.DUMMYFUNCTION("""COMPUTED_VALUE"""),"Books &amp; Stationery")</f>
        <v>Books &amp; Stationery</v>
      </c>
      <c r="B76" s="1" t="str">
        <f>IFERROR(__xludf.DUMMYFUNCTION("""COMPUTED_VALUE"""),"SG")</f>
        <v>SG</v>
      </c>
      <c r="C76" s="3" t="str">
        <f>IFERROR(__xludf.DUMMYFUNCTION("""COMPUTED_VALUE"""),"kinokuniya.com.sg")</f>
        <v>kinokuniya.com.sg</v>
      </c>
      <c r="D76" s="1" t="str">
        <f>IFERROR(__xludf.DUMMYFUNCTION("""COMPUTED_VALUE"""),"AE, AF, AG, AI, AL, AM, AO, AR, AT, AU, AW, AZ, BA, BB, BD, BE, BF, BG, BH, BI, BJ, BM, BN, BO, BS, BT, BW, BY, BZ, CA, CD, CF, CH, CI, CK, CL, CM, CN, CO, CR, CV, CW, CY, CZ, DE, DJ, DK, DM, DO, DZ, EC, EE, EG, ER, ES, ET, FI, FJ, FK, FO, FR, GA, GB, GD,"&amp;" GE, GF, GH, GI, GL, GM, GN, GP, GQ, GR, GT, GW, GY, HK, HN, HR, HT, HU, ID, IE, IL, IN, IS, IT, JM, JO, JP, KE, KG, KH, KI, KM, KN, KR, KW, KY, KZ, LA, LB, LC, LK, LR, LT, LU, LV, MA, MD, ME, MG, MK, ML, MM, MN, MO, MQ, MR, MS, MT, MU, MV, MW, MX, MY, MZ"&amp;", NA, NC, NE, NG, NI, NL, NO, NP, NR, NU, NZ, OM, PA, PE, PF, PG, PH, PK, PL, PM, PN, PT, PY, QA, RE, RO, RS, RW, SA, SB, SC, SD, SE, SG, SH, SI, SK, SL, SN, SR, ST, SV, SX, SZ, TC, TD, TG, TH, TJ, TK, TM, TN, TO, TR, TT, TV, TW, TZ, UA, UG, US, UY, UZ, V"&amp;"A, VC, VE, VG, VN, VU, WS, YE, YT, ZA, ZM, ZW")</f>
        <v>AE, AF, AG, AI, AL, AM, AO, AR, AT, AU, AW, AZ, BA, BB, BD, BE, BF, BG, BH, BI, BJ, BM, BN, BO, BS, BT, BW, BY, BZ, CA, CD, CF, CH, CI, CK, CL, CM, CN, CO, CR, CV, CW, CY, CZ, DE, DJ, DK, DM, DO, DZ, EC, EE, EG, ER, ES, ET, FI, FJ, FK, FO, FR, GA, GB, GD, GE, GF, GH, GI, GL, GM, GN, GP, GQ, GR, GT, GW, GY, HK, HN, HR, HT, HU, ID, IE, IL, IN, IS, IT, JM, JO, JP, KE, KG, KH, KI, KM, KN, KR, KW, KY, KZ, LA, LB, LC, LK, LR, LT, LU, LV, MA, MD, ME, MG, MK, ML, MM, MN, MO, MQ, MR, MS, MT, MU, MV, MW, MX, MY, MZ, NA, NC, NE, NG, NI, NL, NO, NP, NR, NU, NZ, OM, PA, PE, PF, PG, PH, PK, PL, PM, PN, PT, PY, QA, RE, RO, RS, RW, SA, SB, SC, SD, SE, SG, SH, SI, SK, SL, SN, SR, ST, SV, SX, SZ, TC, TD, TG, TH, TJ, TK, TM, TN, TO, TR, TT, TV, TW, TZ, UA, UG, US, UY, UZ, VA, VC, VE, VG, VN, VU, WS, YE, YT, ZA, ZM, ZW</v>
      </c>
      <c r="E76" s="2" t="str">
        <f>IFERROR(__xludf.DUMMYFUNCTION("""COMPUTED_VALUE"""),"名偵探柯南 (106)")</f>
        <v>名偵探柯南 (106)</v>
      </c>
      <c r="F76" s="2" t="str">
        <f>IFERROR(__xludf.DUMMYFUNCTION("""COMPUTED_VALUE"""),"48658523619563")</f>
        <v>48658523619563</v>
      </c>
      <c r="G76" s="2">
        <f>IFERROR(__xludf.DUMMYFUNCTION("""COMPUTED_VALUE"""),9.4)</f>
        <v>9.4</v>
      </c>
      <c r="H76" s="2" t="str">
        <f>IFERROR(__xludf.DUMMYFUNCTION("""COMPUTED_VALUE"""),"SGD")</f>
        <v>SGD</v>
      </c>
      <c r="I76" s="5" t="str">
        <f>IFERROR(__xludf.DUMMYFUNCTION("""COMPUTED_VALUE"""),"https://kinokuniya.com.sg/cart/48658523619563:1?attributes[click_id]=example_click_id")</f>
        <v>https://kinokuniya.com.sg/cart/48658523619563:1?attributes[click_id]=example_click_id</v>
      </c>
    </row>
    <row r="77">
      <c r="A77" s="1" t="str">
        <f>IFERROR(__xludf.DUMMYFUNCTION("""COMPUTED_VALUE"""),"Pets")</f>
        <v>Pets</v>
      </c>
      <c r="B77" s="1" t="str">
        <f>IFERROR(__xludf.DUMMYFUNCTION("""COMPUTED_VALUE"""),"SG")</f>
        <v>SG</v>
      </c>
      <c r="C77" s="3" t="str">
        <f>IFERROR(__xludf.DUMMYFUNCTION("""COMPUTED_VALUE"""),"kohepets.com.sg")</f>
        <v>kohepets.com.sg</v>
      </c>
      <c r="D77" s="1" t="str">
        <f>IFERROR(__xludf.DUMMYFUNCTION("""COMPUTED_VALUE"""),"SG")</f>
        <v>SG</v>
      </c>
      <c r="E77" s="2" t="str">
        <f>IFERROR(__xludf.DUMMYFUNCTION("""COMPUTED_VALUE"""),"Absolute Bites Tote Bag")</f>
        <v>Absolute Bites Tote Bag</v>
      </c>
      <c r="F77" s="2" t="str">
        <f>IFERROR(__xludf.DUMMYFUNCTION("""COMPUTED_VALUE"""),"51688411988214")</f>
        <v>51688411988214</v>
      </c>
      <c r="G77" s="2">
        <f>IFERROR(__xludf.DUMMYFUNCTION("""COMPUTED_VALUE"""),9.9)</f>
        <v>9.9</v>
      </c>
      <c r="H77" s="2" t="str">
        <f>IFERROR(__xludf.DUMMYFUNCTION("""COMPUTED_VALUE"""),"SGD")</f>
        <v>SGD</v>
      </c>
      <c r="I77" s="5" t="str">
        <f>IFERROR(__xludf.DUMMYFUNCTION("""COMPUTED_VALUE"""),"https://www.kohepets.com.sg/cart/51688411988214:1?attributes[click_id]=example_click_id")</f>
        <v>https://www.kohepets.com.sg/cart/51688411988214:1?attributes[click_id]=example_click_id</v>
      </c>
    </row>
    <row r="78">
      <c r="A78" s="1" t="str">
        <f>IFERROR(__xludf.DUMMYFUNCTION("""COMPUTED_VALUE"""),"Books &amp; Stationery")</f>
        <v>Books &amp; Stationery</v>
      </c>
      <c r="B78" s="1" t="str">
        <f>IFERROR(__xludf.DUMMYFUNCTION("""COMPUTED_VALUE"""),"JP")</f>
        <v>JP</v>
      </c>
      <c r="C78" s="3" t="str">
        <f>IFERROR(__xludf.DUMMYFUNCTION("""COMPUTED_VALUE"""),"komorebistationery.com")</f>
        <v>komorebistationery.com</v>
      </c>
      <c r="D78" s="1" t="str">
        <f>IFERROR(__xludf.DUMMYFUNCTION("""COMPUTED_VALUE"""),"AD, AE, AF, AG, AI, AL, AM, AR, AT, AU, AW, AX, AZ, BA, BB, BD, BE, BG, BH, BL, BM, BN, BO, BQ, BR, BS, BT, BY, BZ, CA, CC, CH, CK, CL, CN, CO, CR, CW, CX, CY, CZ, DK, DM, DO, EC, EE, EG, ES, FI, FJ, FK, FO, FR, GB, GD, GE, GF, GG, GI, GL, GP, GR, GT, GY,"&amp;" HK, HN, HR, HT, HU, ID, IE, IL, IM, IN, IO, IQ, IS, IT, JE, JM, JO, JP, KG, KH, KI, KN, KR, KW, KY, KZ, LA, LB, LC, LI, LK, LT, LU, LV, MC, MD, ME, MF, MK, MM, MN, MO, MQ, MS, MT, MU, MV, MX, MY, NC, NF, NI, NL, NO, NP, NR, NU, NZ, OM, PA, PE, PF, PG, PH"&amp;", PK, PL, PM, PN, PS, PT, PY, QA, RE, RO, RS, SA, SB, SE, SG, SI, SJ, SK, SM, SR, SV, SX, TC, TH, TJ, TK, TL, TM, TO, TR, TT, TV, TW, UA, UM, US, UY, UZ, VA, VC, VE, VG, VN, VU, WF, WS, XK, YE, YT, ZA")</f>
        <v>AD, AE, AF, AG, AI, AL, AM, AR, AT, AU, AW, AX, AZ, BA, BB, BD, BE, BG, BH, BL, BM, BN, BO, BQ, BR, BS, BT, BY, BZ, CA, CC, CH, CK, CL, CN, CO, CR, CW, CX, CY, CZ, DK, DM, DO, EC, EE, EG, ES, FI, FJ, FK, FO, FR, GB, GD, GE, GF, GG, GI, GL, GP, GR, GT, GY, HK, HN, HR, HT, HU, ID, IE, IL, IM, IN, IO, IQ, IS, IT, JE, JM, JO, JP, KG, KH, KI, KN, KR, KW, KY, KZ, LA, LB, LC, LI, LK, LT, LU, LV, MC, MD, ME, MF, MK, MM, MN, MO, MQ, MS, MT, MU, MV, MX, MY, NC, NF, NI, NL, NO, NP, NR, NU, NZ, OM, PA, PE, PF, PG, PH, PK, PL, PM, PN, PS, PT, PY, QA, RE, RO, RS, SA, SB, SE, SG, SI, SJ, SK, SM, SR, SV, SX, TC, TH, TJ, TK, TL, TM, TO, TR, TT, TV, TW, UA, UM, US, UY, UZ, VA, VC, VE, VG, VN, VU, WF, WS, XK, YE, YT, ZA</v>
      </c>
      <c r="E78" s="2" t="str">
        <f>IFERROR(__xludf.DUMMYFUNCTION("""COMPUTED_VALUE"""),"Gold Leaf Great Wave Ballpoint Pen")</f>
        <v>Gold Leaf Great Wave Ballpoint Pen</v>
      </c>
      <c r="F78" s="2" t="str">
        <f>IFERROR(__xludf.DUMMYFUNCTION("""COMPUTED_VALUE"""),"51256992399643")</f>
        <v>51256992399643</v>
      </c>
      <c r="G78" s="2">
        <f>IFERROR(__xludf.DUMMYFUNCTION("""COMPUTED_VALUE"""),60.0)</f>
        <v>60</v>
      </c>
      <c r="H78" s="2" t="str">
        <f>IFERROR(__xludf.DUMMYFUNCTION("""COMPUTED_VALUE"""),"JPY")</f>
        <v>JPY</v>
      </c>
      <c r="I78" s="5" t="str">
        <f>IFERROR(__xludf.DUMMYFUNCTION("""COMPUTED_VALUE"""),"https://komorebistationery.com/cart/51256992399643:1?attributes[click_id]=example_click_id")</f>
        <v>https://komorebistationery.com/cart/51256992399643:1?attributes[click_id]=example_click_id</v>
      </c>
    </row>
    <row r="79">
      <c r="A79" s="1" t="str">
        <f>IFERROR(__xludf.DUMMYFUNCTION("""COMPUTED_VALUE"""),"Beauty &amp; Personal Care")</f>
        <v>Beauty &amp; Personal Care</v>
      </c>
      <c r="B79" s="1" t="str">
        <f>IFERROR(__xludf.DUMMYFUNCTION("""COMPUTED_VALUE"""),"US")</f>
        <v>US</v>
      </c>
      <c r="C79" s="3" t="str">
        <f>IFERROR(__xludf.DUMMYFUNCTION("""COMPUTED_VALUE"""),"kravebeauty.com")</f>
        <v>kravebeauty.com</v>
      </c>
      <c r="D79" s="1" t="str">
        <f>IFERROR(__xludf.DUMMYFUNCTION("""COMPUTED_VALUE"""),"AE, AT, AU, BE, BG, CA, CH, CN, CY, CZ, DE, DK, EE, ES, FI, FR, GB, GR, HK, HR, HU, IE, IL, IN, IT, JP, KR, KW, LT, LU, LV, MC, MT, MY, NL, NO, NZ, PH, PL, PT, QA, RO, SA, SE, SG, SI, SK, TH, TW, US")</f>
        <v>AE, AT, AU, BE, BG, CA, CH, CN, CY, CZ, DE, DK, EE, ES, FI, FR, GB, GR, HK, HR, HU, IE, IL, IN, IT, JP, KR, KW, LT, LU, LV, MC, MT, MY, NL, NO, NZ, PH, PL, PT, QA, RO, SA, SE, SG, SI, SK, TH, TW, US</v>
      </c>
      <c r="E79" s="2" t="str">
        <f>IFERROR(__xludf.DUMMYFUNCTION("""COMPUTED_VALUE"""),"Barrier On-The-Go Mini Kit")</f>
        <v>Barrier On-The-Go Mini Kit</v>
      </c>
      <c r="F79" s="2" t="str">
        <f>IFERROR(__xludf.DUMMYFUNCTION("""COMPUTED_VALUE"""),"42175892160587")</f>
        <v>42175892160587</v>
      </c>
      <c r="G79" s="2">
        <f>IFERROR(__xludf.DUMMYFUNCTION("""COMPUTED_VALUE"""),49.5)</f>
        <v>49.5</v>
      </c>
      <c r="H79" s="2" t="str">
        <f>IFERROR(__xludf.DUMMYFUNCTION("""COMPUTED_VALUE"""),"USD")</f>
        <v>USD</v>
      </c>
      <c r="I79" s="5" t="str">
        <f>IFERROR(__xludf.DUMMYFUNCTION("""COMPUTED_VALUE"""),"https://kravebeauty.com/cart/42175892160587:1?attributes[click_id]=example_click_id")</f>
        <v>https://kravebeauty.com/cart/42175892160587:1?attributes[click_id]=example_click_id</v>
      </c>
    </row>
    <row r="80">
      <c r="A80" s="1" t="str">
        <f>IFERROR(__xludf.DUMMYFUNCTION("""COMPUTED_VALUE"""),"Fashion &amp; Apparel")</f>
        <v>Fashion &amp; Apparel</v>
      </c>
      <c r="B80" s="1" t="str">
        <f>IFERROR(__xludf.DUMMYFUNCTION("""COMPUTED_VALUE"""),"SG")</f>
        <v>SG</v>
      </c>
      <c r="C80" s="3" t="str">
        <f>IFERROR(__xludf.DUMMYFUNCTION("""COMPUTED_VALUE"""),"kydra.co")</f>
        <v>kydra.co</v>
      </c>
      <c r="D80" s="1" t="str">
        <f>IFERROR(__xludf.DUMMYFUNCTION("""COMPUTED_VALUE"""),"AE, AU, BN, CA, DE, FR, GB, HK, ID, KH, KR, LA, MM, MY, NZ, PH, SG, TH, TR, TW, US, VN")</f>
        <v>AE, AU, BN, CA, DE, FR, GB, HK, ID, KH, KR, LA, MM, MY, NZ, PH, SG, TH, TR, TW, US, VN</v>
      </c>
      <c r="E80" s="2" t="str">
        <f>IFERROR(__xludf.DUMMYFUNCTION("""COMPUTED_VALUE"""),"Axis Linerless Shorts - Navy / M")</f>
        <v>Axis Linerless Shorts - Navy / M</v>
      </c>
      <c r="F80" s="2" t="str">
        <f>IFERROR(__xludf.DUMMYFUNCTION("""COMPUTED_VALUE"""),"44822312353983")</f>
        <v>44822312353983</v>
      </c>
      <c r="G80" s="2">
        <f>IFERROR(__xludf.DUMMYFUNCTION("""COMPUTED_VALUE"""),58.0)</f>
        <v>58</v>
      </c>
      <c r="H80" s="2" t="str">
        <f>IFERROR(__xludf.DUMMYFUNCTION("""COMPUTED_VALUE"""),"SGD")</f>
        <v>SGD</v>
      </c>
      <c r="I80" s="5" t="str">
        <f>IFERROR(__xludf.DUMMYFUNCTION("""COMPUTED_VALUE"""),"https://www.kydra.co/cart/44822312353983:1?attributes[click_id]=example_click_id")</f>
        <v>https://www.kydra.co/cart/44822312353983:1?attributes[click_id]=example_click_id</v>
      </c>
    </row>
    <row r="81">
      <c r="A81" s="1" t="str">
        <f>IFERROR(__xludf.DUMMYFUNCTION("""COMPUTED_VALUE"""),"Bakery &amp; Desserts")</f>
        <v>Bakery &amp; Desserts</v>
      </c>
      <c r="B81" s="1" t="str">
        <f>IFERROR(__xludf.DUMMYFUNCTION("""COMPUTED_VALUE"""),"US")</f>
        <v>US</v>
      </c>
      <c r="C81" s="3" t="str">
        <f>IFERROR(__xludf.DUMMYFUNCTION("""COMPUTED_VALUE"""),"levainbakery.com")</f>
        <v>levainbakery.com</v>
      </c>
      <c r="D81" s="1" t="str">
        <f>IFERROR(__xludf.DUMMYFUNCTION("""COMPUTED_VALUE"""),"*, CA, FR, GB, IL, MX, US")</f>
        <v>*, CA, FR, GB, IL, MX, US</v>
      </c>
      <c r="E81" s="2" t="str">
        <f>IFERROR(__xludf.DUMMYFUNCTION("""COMPUTED_VALUE"""),"Fall Bounty Assortment - 4 PK")</f>
        <v>Fall Bounty Assortment - 4 PK</v>
      </c>
      <c r="F81" s="2" t="str">
        <f>IFERROR(__xludf.DUMMYFUNCTION("""COMPUTED_VALUE"""),"60580692820049")</f>
        <v>60580692820049</v>
      </c>
      <c r="G81" s="2">
        <f>IFERROR(__xludf.DUMMYFUNCTION("""COMPUTED_VALUE"""),32.0)</f>
        <v>32</v>
      </c>
      <c r="H81" s="2" t="str">
        <f>IFERROR(__xludf.DUMMYFUNCTION("""COMPUTED_VALUE"""),"USD")</f>
        <v>USD</v>
      </c>
      <c r="I81" s="5" t="str">
        <f>IFERROR(__xludf.DUMMYFUNCTION("""COMPUTED_VALUE"""),"https://levainbakery.com/cart/60580692820049:1?attributes[click_id]=example_click_id")</f>
        <v>https://levainbakery.com/cart/60580692820049:1?attributes[click_id]=example_click_id</v>
      </c>
    </row>
    <row r="82">
      <c r="A82" s="1" t="str">
        <f>IFERROR(__xludf.DUMMYFUNCTION("""COMPUTED_VALUE"""),"Audio &amp; Music")</f>
        <v>Audio &amp; Music</v>
      </c>
      <c r="B82" s="1" t="str">
        <f>IFERROR(__xludf.DUMMYFUNCTION("""COMPUTED_VALUE"""),"US")</f>
        <v>US</v>
      </c>
      <c r="C82" s="3" t="str">
        <f>IFERROR(__xludf.DUMMYFUNCTION("""COMPUTED_VALUE"""),"linsoul.com")</f>
        <v>linsoul.com</v>
      </c>
      <c r="D82" s="1" t="str">
        <f>IFERROR(__xludf.DUMMYFUNCTION("""COMPUTED_VALUE"""),"*, AC, AD, AE, AF, AG, AI, AL, AM, AO, AR, AT, AU, AW, AX, AZ, BA, BB, BD, BE, BF, BG, BH, BI, BJ, BL, BM, BN, BO, BQ, BR, BS, BT, BW, BY, BZ, CA, CC, CD, CF, CG, CH, CI, CK, CL, CM, CN, CO, CR, CV, CW, CX, CY, CZ, DE, DJ, DK, DM, DO, DZ, EC, EE, EG, EH, "&amp;"ER, ES, ET, FI, FJ, FK, FO, FR, GA, GB, GD, GE, GF, GG, GH, GI, GL, GM, GN, GP, GQ, GR, GS, GT, GW, GY, HK, HN, HR, HT, HU, ID, IE, IL, IM, IN, IO, IQ, IS, IT, JE, JM, JO, JP, KE, KG, KH, KI, KM, KN, KR, KW, KY, KZ, LA, LB, LC, LI, LK, LR, LS, LT, LU, LV,"&amp;" LY, MA, MC, MD, ME, MF, MG, MK, ML, MM, MN, MO, MQ, MR, MS, MT, MU, MV, MW, MX, MY, MZ, NA, NC, NE, NF, NG, NI, NL, NO, NP, NR, NU, NZ, OM, PA, PE, PF, PG, PH, PK, PL, PM, PN, PS, PT, PY, QA, RE, RO, RS, RU, RW, SA, SB, SC, SD, SE, SG, SH, SI, SJ, SK, SL"&amp;", SM, SN, SO, SR, SS, ST, SV, SX, SZ, TA, TC, TD, TF, TG, TH, TJ, TK, TL, TM, TN, TO, TR, TT, TV, TW, TZ, UA, UG, UM, US, UY, UZ, VA, VC, VE, VG, VN, VU, WF, WS, XK, YE, YT, ZA, ZM, ZW")</f>
        <v>*, AC, AD, AE, AF, AG, AI, AL, AM, AO, AR, AT, AU, AW, AX, AZ, BA, BB, BD, BE, BF, BG, BH, BI, BJ, BL, BM, BN, BO, BQ, BR, BS, BT, BW, BY, BZ, CA, CC, CD, CF, CG, CH, CI, CK, CL, CM, CN, CO, CR, CV, CW, CX, CY, CZ, DE, DJ, DK, DM, DO, DZ, EC, EE, EG, EH, ER, ES, ET, FI, FJ, FK, FO, FR, GA, GB, GD, GE, GF, GG, GH, GI, GL, GM, GN, GP, GQ, GR, GS, GT, GW, GY, HK, HN, HR, HT, HU, ID, IE, IL, IM, IN, IO, IQ, IS, IT, JE, JM, JO, JP, KE, KG, KH, KI, KM, KN, KR, KW, KY, KZ, LA, LB, LC, LI, LK, LR, LS, LT, LU, LV, LY, MA, MC, MD, ME, MF, MG, MK, ML, MM, MN, MO, MQ, MR, MS, MT, MU, MV, MW, MX, MY, MZ, NA, NC, NE, NF, NG, NI, NL, NO, NP, NR, NU, NZ, OM, PA, PE, PF, PG, PH, PK, PL, PM, PN, PS, PT, PY, QA, RE, RO, RS, RU, RW, SA, SB, SC, SD, SE, SG, SH, SI, SJ, SK, SL, SM, SN, SO, SR, SS, ST, SV, SX, SZ, TA, TC, TD, TF, TG, TH, TJ, TK, TL, TM, TN, TO, TR, TT, TV, TW, TZ, UA, UG, UM, US, UY, UZ, VA, VC, VE, VG, VN, VU, WF, WS, XK, YE, YT, ZA, ZM, ZW</v>
      </c>
      <c r="E82" s="2" t="str">
        <f>IFERROR(__xludf.DUMMYFUNCTION("""COMPUTED_VALUE"""),"SMSL SU-3 Desktop DAC")</f>
        <v>SMSL SU-3 Desktop DAC</v>
      </c>
      <c r="F82" s="2" t="str">
        <f>IFERROR(__xludf.DUMMYFUNCTION("""COMPUTED_VALUE"""),"50542604648665")</f>
        <v>50542604648665</v>
      </c>
      <c r="G82" s="2">
        <f>IFERROR(__xludf.DUMMYFUNCTION("""COMPUTED_VALUE"""),189.99)</f>
        <v>189.99</v>
      </c>
      <c r="H82" s="2" t="str">
        <f>IFERROR(__xludf.DUMMYFUNCTION("""COMPUTED_VALUE"""),"USD")</f>
        <v>USD</v>
      </c>
      <c r="I82" s="5" t="str">
        <f>IFERROR(__xludf.DUMMYFUNCTION("""COMPUTED_VALUE"""),"https://www.linsoul.com/cart/50542604648665:1?attributes[click_id]=example_click_id")</f>
        <v>https://www.linsoul.com/cart/50542604648665:1?attributes[click_id]=example_click_id</v>
      </c>
    </row>
    <row r="83">
      <c r="A83" s="1" t="str">
        <f>IFERROR(__xludf.DUMMYFUNCTION("""COMPUTED_VALUE"""),"Drinks &amp; Alcohol")</f>
        <v>Drinks &amp; Alcohol</v>
      </c>
      <c r="B83" s="1" t="str">
        <f>IFERROR(__xludf.DUMMYFUNCTION("""COMPUTED_VALUE"""),"US")</f>
        <v>US</v>
      </c>
      <c r="C83" s="3" t="str">
        <f>IFERROR(__xludf.DUMMYFUNCTION("""COMPUTED_VALUE"""),"liquiddeath.com")</f>
        <v>liquiddeath.com</v>
      </c>
      <c r="D83" s="1" t="str">
        <f>IFERROR(__xludf.DUMMYFUNCTION("""COMPUTED_VALUE"""),"*, AD, AE, AG, AI, AL, AM, AO, AR, AT, AU, AW, AZ, BA, BB, BD, BE, BF, BG, BH, BI, BJ, BL, BM, BN, BO, BR, BS, BT, BW, BZ, CA, CG, CH, CI, CK, CL, CM, CN, CO, CR, CV, CW, CY, CZ, DE, DJ, DK, DM, DO, DZ, EC, EE, EG, ES, ET, FI, FJ, FK, FO, FR, GA, GB, GD, "&amp;"GE, GF, GG, GH, GI, GL, GM, GN, GP, GQ, GR, GT, GW, GY, HK, HN, HR, HT, HU, ID, IE, IL, IM, IN, IS, IT, JE, JM, JO, JP, KE, KG, KH, KI, KM, KN, KR, KW, KY, KZ, LA, LB, LC, LI, LK, LR, LS, LT, LU, LV, MA, MC, MD, ME, MF, MG, MK, MN, MO, MQ, MR, MS, MT, MU,"&amp;" MV, MW, MX, MY, MZ, NA, NC, NG, NI, NL, NO, NP, NR, NU, NZ, OM, PA, PE, PF, PG, PH, PK, PL, PT, PY, QA, RE, RO, RS, RW, SA, SB, SC, SE, SG, SH, SI, SK, SL, SM, SN, SR, ST, SV, SX, SZ, TC, TD, TG, TH, TL, TM, TN, TO, TT, TV, TW, TZ, UG, US, UY, UZ, VA, VC"&amp;", VE, VG, VN, VU, WF, WS, YT, ZA, ZM, ZW")</f>
        <v>*, AD, AE, AG, AI, AL, AM, AO, AR, AT, AU, AW, AZ, BA, BB, BD, BE, BF, BG, BH, BI, BJ, BL, BM, BN, BO, BR, BS, BT, BW, BZ, CA, CG, CH, CI, CK, CL, CM, CN, CO, CR, CV, CW, CY, CZ, DE, DJ, DK, DM, DO, DZ, EC, EE, EG, ES, ET, FI, FJ, FK, FO, FR, GA, GB, GD, GE, GF, GG, GH, GI, GL, GM, GN, GP, GQ, GR, GT, GW, GY, HK, HN, HR, HT, HU, ID, IE, IL, IM, IN, IS, IT, JE, JM, JO, JP, KE, KG, KH, KI, KM, KN, KR, KW, KY, KZ, LA, LB, LC, LI, LK, LR, LS, LT, LU, LV, MA, MC, MD, ME, MF, MG, MK, MN, MO, MQ, MR, MS, MT, MU, MV, MW, MX, MY, MZ, NA, NC, NG, NI, NL, NO, NP, NR, NU, NZ, OM, PA, PE, PF, PG, PH, PK, PL, PT, PY, QA, RE, RO, RS, RW, SA, SB, SC, SE, SG, SH, SI, SK, SL, SM, SN, SR, ST, SV, SX, SZ, TC, TD, TG, TH, TL, TM, TN, TO, TT, TV, TW, TZ, UG, US, UY, UZ, VA, VC, VE, VG, VN, VU, WF, WS, YT, ZA, ZM, ZW</v>
      </c>
      <c r="E83" s="2" t="str">
        <f>IFERROR(__xludf.DUMMYFUNCTION("""COMPUTED_VALUE"""),"Pot Head Planter - Red")</f>
        <v>Pot Head Planter - Red</v>
      </c>
      <c r="F83" s="2" t="str">
        <f>IFERROR(__xludf.DUMMYFUNCTION("""COMPUTED_VALUE"""),"43239726448849")</f>
        <v>43239726448849</v>
      </c>
      <c r="G83" s="2">
        <f>IFERROR(__xludf.DUMMYFUNCTION("""COMPUTED_VALUE"""),34.0)</f>
        <v>34</v>
      </c>
      <c r="H83" s="2" t="str">
        <f>IFERROR(__xludf.DUMMYFUNCTION("""COMPUTED_VALUE"""),"USD")</f>
        <v>USD</v>
      </c>
      <c r="I83" s="5" t="str">
        <f>IFERROR(__xludf.DUMMYFUNCTION("""COMPUTED_VALUE"""),"https://liquiddeath.com/cart/43239726448849:1?attributes[click_id]=example_click_id")</f>
        <v>https://liquiddeath.com/cart/43239726448849:1?attributes[click_id]=example_click_id</v>
      </c>
    </row>
    <row r="84">
      <c r="A84" s="1" t="str">
        <f>IFERROR(__xludf.DUMMYFUNCTION("""COMPUTED_VALUE"""),"Grocery &amp; Pantry")</f>
        <v>Grocery &amp; Pantry</v>
      </c>
      <c r="B84" s="1" t="str">
        <f>IFERROR(__xludf.DUMMYFUNCTION("""COMPUTED_VALUE"""),"HK")</f>
        <v>HK</v>
      </c>
      <c r="C84" s="3" t="str">
        <f>IFERROR(__xludf.DUMMYFUNCTION("""COMPUTED_VALUE"""),"livezero.hk")</f>
        <v>livezero.hk</v>
      </c>
      <c r="D84" s="1" t="str">
        <f>IFERROR(__xludf.DUMMYFUNCTION("""COMPUTED_VALUE"""),"*, AC, AD, AE, AF, AG, AI, AL, AM, AO, AR, AT, AU, AW, AX, AZ, BA, BB, BD, BE, BF, BG, BH, BI, BJ, BL, BM, BN, BO, BQ, BR, BS, BT, BW, BY, BZ, CA, CC, CD, CF, CG, CH, CI, CK, CL, CM, CN, CO, CR, CV, CW, CX, CY, CZ, DE, DJ, DK, DM, DO, DZ, EC, EE, EG, EH, "&amp;"ER, ES, ET, FI, FJ, FK, FO, FR, GA, GB, GD, GE, GF, GG, GH, GI, GL, GM, GN, GP, GQ, GR, GS, GT, GW, GY, HK, HN, HR, HT, HU, ID, IE, IL, IM, IN, IO, IQ, IS, IT, JE, JM, JO, JP, KE, KG, KH, KI, KM, KN, KR, KW, KY, KZ, LA, LB, LC, LI, LK, LR, LS, LT, LU, LV,"&amp;" LY, MA, MC, MD, ME, MF, MG, MK, ML, MM, MN, MO, MQ, MR, MS, MT, MU, MV, MW, MX, MY, MZ, NA, NC, NE, NF, NG, NI, NL, NO, NP, NR, NU, NZ, OM, PA, PE, PF, PG, PH, PK, PL, PM, PN, PS, PT, PY, QA, RE, RO, RS, RU, RW, SA, SB, SC, SD, SE, SG, SH, SI, SJ, SK, SL"&amp;", SM, SN, SO, SR, SS, ST, SV, SX, SZ, TA, TC, TD, TF, TG, TH, TJ, TK, TL, TM, TN, TO, TR, TT, TV, TW, TZ, UA, UG, UM, US, UY, UZ, VA, VC, VE, VG, VN, VU, WF, WS, XK, YE, YT, ZA, ZM, ZW")</f>
        <v>*, AC, AD, AE, AF, AG, AI, AL, AM, AO, AR, AT, AU, AW, AX, AZ, BA, BB, BD, BE, BF, BG, BH, BI, BJ, BL, BM, BN, BO, BQ, BR, BS, BT, BW, BY, BZ, CA, CC, CD, CF, CG, CH, CI, CK, CL, CM, CN, CO, CR, CV, CW, CX, CY, CZ, DE, DJ, DK, DM, DO, DZ, EC, EE, EG, EH, ER, ES, ET, FI, FJ, FK, FO, FR, GA, GB, GD, GE, GF, GG, GH, GI, GL, GM, GN, GP, GQ, GR, GS, GT, GW, GY, HK, HN, HR, HT, HU, ID, IE, IL, IM, IN, IO, IQ, IS, IT, JE, JM, JO, JP, KE, KG, KH, KI, KM, KN, KR, KW, KY, KZ, LA, LB, LC, LI, LK, LR, LS, LT, LU, LV, LY, MA, MC, MD, ME, MF, MG, MK, ML, MM, MN, MO, MQ, MR, MS, MT, MU, MV, MW, MX, MY, MZ, NA, NC, NE, NF, NG, NI, NL, NO, NP, NR, NU, NZ, OM, PA, PE, PF, PG, PH, PK, PL, PM, PN, PS, PT, PY, QA, RE, RO, RS, RU, RW, SA, SB, SC, SD, SE, SG, SH, SI, SJ, SK, SL, SM, SN, SO, SR, SS, ST, SV, SX, SZ, TA, TC, TD, TF, TG, TH, TJ, TK, TL, TM, TN, TO, TR, TT, TV, TW, TZ, UA, UG, UM, US, UY, UZ, VA, VC, VE, VG, VN, VU, WF, WS, XK, YE, YT, ZA, ZM, ZW</v>
      </c>
      <c r="E84" s="2" t="str">
        <f>IFERROR(__xludf.DUMMYFUNCTION("""COMPUTED_VALUE"""),"Glass Mason Wide Mouth Storage Jar - 8oz Wide Square")</f>
        <v>Glass Mason Wide Mouth Storage Jar - 8oz Wide Square</v>
      </c>
      <c r="F84" s="2" t="str">
        <f>IFERROR(__xludf.DUMMYFUNCTION("""COMPUTED_VALUE"""),"48205571457236")</f>
        <v>48205571457236</v>
      </c>
      <c r="G84" s="2">
        <f>IFERROR(__xludf.DUMMYFUNCTION("""COMPUTED_VALUE"""),20.0)</f>
        <v>20</v>
      </c>
      <c r="H84" s="2" t="str">
        <f>IFERROR(__xludf.DUMMYFUNCTION("""COMPUTED_VALUE"""),"HKD")</f>
        <v>HKD</v>
      </c>
      <c r="I84" s="5" t="str">
        <f>IFERROR(__xludf.DUMMYFUNCTION("""COMPUTED_VALUE"""),"https://livezero.hk/cart/48205571457236:1?attributes[click_id]=example_click_id")</f>
        <v>https://livezero.hk/cart/48205571457236:1?attributes[click_id]=example_click_id</v>
      </c>
    </row>
    <row r="85">
      <c r="A85" s="1" t="str">
        <f>IFERROR(__xludf.DUMMYFUNCTION("""COMPUTED_VALUE"""),"Home &amp; Living")</f>
        <v>Home &amp; Living</v>
      </c>
      <c r="B85" s="1" t="str">
        <f>IFERROR(__xludf.DUMMYFUNCTION("""COMPUTED_VALUE"""),"SG")</f>
        <v>SG</v>
      </c>
      <c r="C85" s="3" t="str">
        <f>IFERROR(__xludf.DUMMYFUNCTION("""COMPUTED_VALUE"""),"lux-lumens.sg")</f>
        <v>lux-lumens.sg</v>
      </c>
      <c r="D85" s="1" t="str">
        <f>IFERROR(__xludf.DUMMYFUNCTION("""COMPUTED_VALUE"""),"*, SG")</f>
        <v>*, SG</v>
      </c>
      <c r="E85" s="2" t="str">
        <f>IFERROR(__xludf.DUMMYFUNCTION("""COMPUTED_VALUE"""),"Avery - Industrial Linear Ceiling Light - Single / Black / 3000K")</f>
        <v>Avery - Industrial Linear Ceiling Light - Single / Black / 3000K</v>
      </c>
      <c r="F85" s="2" t="str">
        <f>IFERROR(__xludf.DUMMYFUNCTION("""COMPUTED_VALUE"""),"52353317896481")</f>
        <v>52353317896481</v>
      </c>
      <c r="G85" s="2">
        <f>IFERROR(__xludf.DUMMYFUNCTION("""COMPUTED_VALUE"""),99.0)</f>
        <v>99</v>
      </c>
      <c r="H85" s="2" t="str">
        <f>IFERROR(__xludf.DUMMYFUNCTION("""COMPUTED_VALUE"""),"SGD")</f>
        <v>SGD</v>
      </c>
      <c r="I85" s="5" t="str">
        <f>IFERROR(__xludf.DUMMYFUNCTION("""COMPUTED_VALUE"""),"https://lux-lumens.sg/cart/52353317896481:1?attributes[click_id]=example_click_id")</f>
        <v>https://lux-lumens.sg/cart/52353317896481:1?attributes[click_id]=example_click_id</v>
      </c>
    </row>
    <row r="86">
      <c r="A86" s="1" t="str">
        <f>IFERROR(__xludf.DUMMYFUNCTION("""COMPUTED_VALUE"""),"Home Appliances &amp; DIY")</f>
        <v>Home Appliances &amp; DIY</v>
      </c>
      <c r="B86" s="1" t="str">
        <f>IFERROR(__xludf.DUMMYFUNCTION("""COMPUTED_VALUE"""),"MY")</f>
        <v>MY</v>
      </c>
      <c r="C86" s="3" t="str">
        <f>IFERROR(__xludf.DUMMYFUNCTION("""COMPUTED_VALUE"""),"machines.com.my")</f>
        <v>machines.com.my</v>
      </c>
      <c r="D86" s="1" t="str">
        <f>IFERROR(__xludf.DUMMYFUNCTION("""COMPUTED_VALUE"""),"MY")</f>
        <v>MY</v>
      </c>
      <c r="E86" s="2" t="str">
        <f>IFERROR(__xludf.DUMMYFUNCTION("""COMPUTED_VALUE"""),"Beats 360 Cushion Kit")</f>
        <v>Beats 360 Cushion Kit</v>
      </c>
      <c r="F86" s="2" t="str">
        <f>IFERROR(__xludf.DUMMYFUNCTION("""COMPUTED_VALUE"""),"67587936583791")</f>
        <v>67587936583791</v>
      </c>
      <c r="G86" s="2">
        <f>IFERROR(__xludf.DUMMYFUNCTION("""COMPUTED_VALUE"""),199.0)</f>
        <v>199</v>
      </c>
      <c r="H86" s="2" t="str">
        <f>IFERROR(__xludf.DUMMYFUNCTION("""COMPUTED_VALUE"""),"MYR")</f>
        <v>MYR</v>
      </c>
      <c r="I86" s="5" t="str">
        <f>IFERROR(__xludf.DUMMYFUNCTION("""COMPUTED_VALUE"""),"https://www.machines.com.my/cart/67587936583791:1?attributes[click_id]=example_click_id")</f>
        <v>https://www.machines.com.my/cart/67587936583791:1?attributes[click_id]=example_click_id</v>
      </c>
    </row>
    <row r="87">
      <c r="A87" s="1" t="str">
        <f>IFERROR(__xludf.DUMMYFUNCTION("""COMPUTED_VALUE"""),"Grocery &amp; Pantry")</f>
        <v>Grocery &amp; Pantry</v>
      </c>
      <c r="B87" s="1" t="str">
        <f>IFERROR(__xludf.DUMMYFUNCTION("""COMPUTED_VALUE"""),"US")</f>
        <v>US</v>
      </c>
      <c r="C87" s="3" t="str">
        <f>IFERROR(__xludf.DUMMYFUNCTION("""COMPUTED_VALUE"""),"magicspoon.com")</f>
        <v>magicspoon.com</v>
      </c>
      <c r="D87" s="1" t="str">
        <f>IFERROR(__xludf.DUMMYFUNCTION("""COMPUTED_VALUE"""),"CA, GB, US")</f>
        <v>CA, GB, US</v>
      </c>
      <c r="E87" s="2" t="str">
        <f>IFERROR(__xludf.DUMMYFUNCTION("""COMPUTED_VALUE"""),"Variety 6 - 1 case (6 boxes)")</f>
        <v>Variety 6 - 1 case (6 boxes)</v>
      </c>
      <c r="F87" s="2" t="str">
        <f>IFERROR(__xludf.DUMMYFUNCTION("""COMPUTED_VALUE"""),"39401282994238")</f>
        <v>39401282994238</v>
      </c>
      <c r="G87" s="2">
        <f>IFERROR(__xludf.DUMMYFUNCTION("""COMPUTED_VALUE"""),55.5)</f>
        <v>55.5</v>
      </c>
      <c r="H87" s="2" t="str">
        <f>IFERROR(__xludf.DUMMYFUNCTION("""COMPUTED_VALUE"""),"USD")</f>
        <v>USD</v>
      </c>
      <c r="I87" s="5" t="str">
        <f>IFERROR(__xludf.DUMMYFUNCTION("""COMPUTED_VALUE"""),"https://magicspoon.com/cart/39401282994238:1?attributes[click_id]=example_click_id")</f>
        <v>https://magicspoon.com/cart/39401282994238:1?attributes[click_id]=example_click_id</v>
      </c>
    </row>
    <row r="88">
      <c r="A88" s="1" t="str">
        <f>IFERROR(__xludf.DUMMYFUNCTION("""COMPUTED_VALUE"""),"Kitchen &amp; Dining")</f>
        <v>Kitchen &amp; Dining</v>
      </c>
      <c r="B88" s="1" t="str">
        <f>IFERROR(__xludf.DUMMYFUNCTION("""COMPUTED_VALUE"""),"US")</f>
        <v>US</v>
      </c>
      <c r="C88" s="3" t="str">
        <f>IFERROR(__xludf.DUMMYFUNCTION("""COMPUTED_VALUE"""),"materialkitchen.com")</f>
        <v>materialkitchen.com</v>
      </c>
      <c r="D88" s="1" t="str">
        <f>IFERROR(__xludf.DUMMYFUNCTION("""COMPUTED_VALUE"""),"*, CA, US")</f>
        <v>*, CA, US</v>
      </c>
      <c r="E88" s="2" t="str">
        <f>IFERROR(__xludf.DUMMYFUNCTION("""COMPUTED_VALUE"""),"The Forever Peeler - Stainless Steel")</f>
        <v>The Forever Peeler - Stainless Steel</v>
      </c>
      <c r="F88" s="2" t="str">
        <f>IFERROR(__xludf.DUMMYFUNCTION("""COMPUTED_VALUE"""),"42051763535934")</f>
        <v>42051763535934</v>
      </c>
      <c r="G88" s="2">
        <f>IFERROR(__xludf.DUMMYFUNCTION("""COMPUTED_VALUE"""),40.0)</f>
        <v>40</v>
      </c>
      <c r="H88" s="2" t="str">
        <f>IFERROR(__xludf.DUMMYFUNCTION("""COMPUTED_VALUE"""),"USD")</f>
        <v>USD</v>
      </c>
      <c r="I88" s="5" t="str">
        <f>IFERROR(__xludf.DUMMYFUNCTION("""COMPUTED_VALUE"""),"https://materialkitchen.com/cart/42051763535934:1?attributes[click_id]=example_click_id")</f>
        <v>https://materialkitchen.com/cart/42051763535934:1?attributes[click_id]=example_click_id</v>
      </c>
    </row>
    <row r="89">
      <c r="A89" s="1" t="str">
        <f>IFERROR(__xludf.DUMMYFUNCTION("""COMPUTED_VALUE"""),"Computers &amp; Electronics")</f>
        <v>Computers &amp; Electronics</v>
      </c>
      <c r="B89" s="1" t="str">
        <f>IFERROR(__xludf.DUMMYFUNCTION("""COMPUTED_VALUE"""),"US")</f>
        <v>US</v>
      </c>
      <c r="C89" s="3" t="str">
        <f>IFERROR(__xludf.DUMMYFUNCTION("""COMPUTED_VALUE"""),"mavigadget.com")</f>
        <v>mavigadget.com</v>
      </c>
      <c r="D89" s="1" t="str">
        <f>IFERROR(__xludf.DUMMYFUNCTION("""COMPUTED_VALUE"""),"AC, AD, AE, AF, AG, AI, AL, AM, AO, AR, AT, AU, AW, AX, AZ, BA, BB, BD, BE, BF, BG, BH, BI, BJ, BL, BM, BN, BO, BQ, BR, BS, BT, BW, BY, BZ, CA, CC, CD, CF, CG, CH, CI, CK, CL, CM, CN, CO, CR, CV, CW, CX, CY, CZ, DE, DJ, DK, DM, DO, DZ, EC, EE, EG, EH, ER,"&amp;" ES, ET, FI, FJ, FK, FO, FR, GA, GB, GD, GE, GF, GG, GH, GI, GL, GM, GN, GP, GQ, GR, GS, GT, GW, GY, HK, HN, HR, HT, HU, ID, IE, IL, IM, IN, IO, IQ, IS, IT, JE, JM, JO, JP, KE, KG, KH, KI, KM, KN, KR, KW, KY, KZ, LA, LB, LC, LI, LK, LR, LS, LT, LU, LV, LY"&amp;", MA, MC, MD, ME, MF, MG, MK, ML, MM, MN, MO, MQ, MR, MS, MT, MU, MV, MW, MX, MY, MZ, NA, NC, NE, NF, NG, NI, NL, NO, NP, NR, NU, NZ, OM, PA, PE, PF, PG, PH, PK, PL, PM, PN, PS, PT, PY, QA, RE, RO, RS, RU, RW, SA, SB, SC, SD, SE, SG, SH, SI, SJ, SK, SL, S"&amp;"M, SN, SO, SR, SS, ST, SV, SX, SZ, TA, TC, TD, TF, TG, TH, TJ, TK, TL, TM, TN, TO, TR, TT, TV, TW, TZ, UA, UG, UM, US, UY, UZ, VA, VC, VE, VG, VN, VU, WF, WS, XK, YE, YT, ZA, ZM, ZW")</f>
        <v>AC, AD, AE, AF, AG, AI, AL, AM, AO, AR, AT, AU, AW, AX, AZ, BA, BB, BD, BE, BF, BG, BH, BI, BJ, BL, BM, BN, BO, BQ, BR, BS, BT, BW, BY, BZ, CA, CC, CD, CF, CG, CH, CI, CK, CL, CM, CN, CO, CR, CV, CW, CX, CY, CZ, DE, DJ, DK, DM, DO, DZ, EC, EE, EG, EH, ER, ES, ET, FI, FJ, FK, FO, FR, GA, GB, GD, GE, GF, GG, GH, GI, GL, GM, GN, GP, GQ, GR, GS, GT, GW, GY, HK, HN, HR, HT, HU, ID, IE, IL, IM, IN, IO, IQ, IS, IT, JE, JM, JO, JP, KE, KG, KH, KI, KM, KN, KR, KW, KY, KZ, LA, LB, LC, LI, LK, LR, LS, LT, LU, LV, LY, MA, MC, MD, ME, MF, MG, MK, ML, MM, MN, MO, MQ, MR, MS, MT, MU, MV, MW, MX, MY, MZ, NA, NC, NE, NF, NG, NI, NL, NO, NP, NR, NU, NZ, OM, PA, PE, PF, PG, PH, PK, PL, PM, PN, PS, PT, PY, QA, RE, RO, RS, RU, RW, SA, SB, SC, SD, SE, SG, SH, SI, SJ, SK, SL, SM, SN, SO, SR, SS, ST, SV, SX, SZ, TA, TC, TD, TF, TG, TH, TJ, TK, TL, TM, TN, TO, TR, TT, TV, TW, TZ, UA, UG, UM, US, UY, UZ, VA, VC, VE, VG, VN, VU, WF, WS, XK, YE, YT, ZA, ZM, ZW</v>
      </c>
      <c r="E89" s="2" t="str">
        <f>IFERROR(__xludf.DUMMYFUNCTION("""COMPUTED_VALUE"""),"Zero Setup Dual Screen Portable Laptop Monitor - 14in")</f>
        <v>Zero Setup Dual Screen Portable Laptop Monitor - 14in</v>
      </c>
      <c r="F89" s="2" t="str">
        <f>IFERROR(__xludf.DUMMYFUNCTION("""COMPUTED_VALUE"""),"46126250328124")</f>
        <v>46126250328124</v>
      </c>
      <c r="G89" s="2">
        <f>IFERROR(__xludf.DUMMYFUNCTION("""COMPUTED_VALUE"""),359.95)</f>
        <v>359.95</v>
      </c>
      <c r="H89" s="2" t="str">
        <f>IFERROR(__xludf.DUMMYFUNCTION("""COMPUTED_VALUE"""),"USD")</f>
        <v>USD</v>
      </c>
      <c r="I89" s="5" t="str">
        <f>IFERROR(__xludf.DUMMYFUNCTION("""COMPUTED_VALUE"""),"https://mavigadget.com/cart/46126250328124:1?attributes[click_id]=example_click_id")</f>
        <v>https://mavigadget.com/cart/46126250328124:1?attributes[click_id]=example_click_id</v>
      </c>
    </row>
    <row r="90">
      <c r="A90" s="1" t="str">
        <f>IFERROR(__xludf.DUMMYFUNCTION("""COMPUTED_VALUE"""),"Pets")</f>
        <v>Pets</v>
      </c>
      <c r="B90" s="1" t="str">
        <f>IFERROR(__xludf.DUMMYFUNCTION("""COMPUTED_VALUE"""),"US")</f>
        <v>US</v>
      </c>
      <c r="C90" s="3" t="str">
        <f>IFERROR(__xludf.DUMMYFUNCTION("""COMPUTED_VALUE"""),"maxbone.com")</f>
        <v>maxbone.com</v>
      </c>
      <c r="D90" s="1" t="str">
        <f>IFERROR(__xludf.DUMMYFUNCTION("""COMPUTED_VALUE"""),"AD, AE, AF, AG, AI, AL, AM, AO, AR, AU, AW, AX, AZ, BA, BB, BD, BF, BH, BI, BJ, BL, BM, BN, BO, BQ, BS, BT, BW, BY, BZ, CA, CC, CD, CF, CG, CH, CI, CK, CL, CM, CN, CO, CR, CV, CW, CX, DJ, DM, DO, DZ, EC, EG, EH, ER, ET, FJ, FK, FO, GA, GB, GD, GE, GF, GG,"&amp;" GH, GI, GL, GM, GN, GP, GQ, GS, GT, GW, GY, HK, HN, HT, ID, IL, IM, IN, IO, IQ, IS, JE, JM, JO, JP, KE, KG, KH, KI, KM, KN, KW, KY, KZ, LA, LB, LC, LI, LK, LR, LS, LY, MA, MC, MD, ME, MF, MG, MK, ML, MM, MN, MO, MQ, MR, MS, MU, MV, MW, MY, MZ, NA, NC, NE"&amp;", NF, NG, NI, NO, NP, NR, NU, NZ, OM, PA, PE, PF, PG, PH, PK, PM, PN, PS, PY, QA, RE, RS, RW, SA, SB, SC, SD, SG, SH, SJ, SL, SM, SN, SO, SR, SS, ST, SV, SX, SZ, TC, TD, TF, TG, TH, TJ, TK, TL, TM, TN, TO, TR, TT, TV, TW, TZ, UA, UG, UM, US, UY, UZ, VA, V"&amp;"C, VE, VG, VN, VU, WF, WS, XK, YE, YT, ZA, ZM, ZW")</f>
        <v>AD, AE, AF, AG, AI, AL, AM, AO, AR, AU, AW, AX, AZ, BA, BB, BD, BF, BH, BI, BJ, BL, BM, BN, BO, BQ, BS, BT, BW, BY, BZ, CA, CC, CD, CF, CG, CH, CI, CK, CL, CM, CN, CO, CR, CV, CW, CX, DJ, DM, DO, DZ, EC, EG, EH, ER, ET, FJ, FK, FO, GA, GB, GD, GE, GF, GG, GH, GI, GL, GM, GN, GP, GQ, GS, GT, GW, GY, HK, HN, HT, ID, IL, IM, IN, IO, IQ, IS, JE, JM, JO, JP, KE, KG, KH, KI, KM, KN, KW, KY, KZ, LA, LB, LC, LI, LK, LR, LS, LY, MA, MC, MD, ME, MF, MG, MK, ML, MM, MN, MO, MQ, MR, MS, MU, MV, MW, MY, MZ, NA, NC, NE, NF, NG, NI, NO, NP, NR, NU, NZ, OM, PA, PE, PF, PG, PH, PK, PM, PN, PS, PY, QA, RE, RS, RW, SA, SB, SC, SD, SG, SH, SJ, SL, SM, SN, SO, SR, SS, ST, SV, SX, SZ, TC, TD, TF, TG, TH, TJ, TK, TL, TM, TN, TO, TR, TT, TV, TW, TZ, UA, UG, UM, US, UY, UZ, VA, VC, VE, VG, VN, VU, WF, WS, XK, YE, YT, ZA, ZM, ZW</v>
      </c>
      <c r="E90" s="2" t="str">
        <f>IFERROR(__xludf.DUMMYFUNCTION("""COMPUTED_VALUE"""),"Marc Jacobs x maxbone Daisy Collar - S")</f>
        <v>Marc Jacobs x maxbone Daisy Collar - S</v>
      </c>
      <c r="F90" s="2" t="str">
        <f>IFERROR(__xludf.DUMMYFUNCTION("""COMPUTED_VALUE"""),"54020381901164")</f>
        <v>54020381901164</v>
      </c>
      <c r="G90" s="2">
        <f>IFERROR(__xludf.DUMMYFUNCTION("""COMPUTED_VALUE"""),25.0)</f>
        <v>25</v>
      </c>
      <c r="H90" s="2" t="str">
        <f>IFERROR(__xludf.DUMMYFUNCTION("""COMPUTED_VALUE"""),"USD")</f>
        <v>USD</v>
      </c>
      <c r="I90" s="5" t="str">
        <f>IFERROR(__xludf.DUMMYFUNCTION("""COMPUTED_VALUE"""),"https://www.maxbone.com/cart/54020381901164:1?attributes[click_id]=example_click_id")</f>
        <v>https://www.maxbone.com/cart/54020381901164:1?attributes[click_id]=example_click_id</v>
      </c>
    </row>
    <row r="91">
      <c r="A91" s="1" t="str">
        <f>IFERROR(__xludf.DUMMYFUNCTION("""COMPUTED_VALUE"""),"Department Stores &amp; Marketplaces")</f>
        <v>Department Stores &amp; Marketplaces</v>
      </c>
      <c r="B91" s="1" t="str">
        <f>IFERROR(__xludf.DUMMYFUNCTION("""COMPUTED_VALUE"""),"SG")</f>
        <v>SG</v>
      </c>
      <c r="C91" s="3" t="str">
        <f>IFERROR(__xludf.DUMMYFUNCTION("""COMPUTED_VALUE"""),"metro.com.sg")</f>
        <v>metro.com.sg</v>
      </c>
      <c r="D91" s="1" t="str">
        <f>IFERROR(__xludf.DUMMYFUNCTION("""COMPUTED_VALUE"""),"JP, SG")</f>
        <v>JP, SG</v>
      </c>
      <c r="E91" s="2" t="str">
        <f>IFERROR(__xludf.DUMMYFUNCTION("""COMPUTED_VALUE"""),"Kose Sekkisei Brightening Holiday Kit")</f>
        <v>Kose Sekkisei Brightening Holiday Kit</v>
      </c>
      <c r="F91" s="2" t="str">
        <f>IFERROR(__xludf.DUMMYFUNCTION("""COMPUTED_VALUE"""),"52255697371457")</f>
        <v>52255697371457</v>
      </c>
      <c r="G91" s="2">
        <f>IFERROR(__xludf.DUMMYFUNCTION("""COMPUTED_VALUE"""),34.0)</f>
        <v>34</v>
      </c>
      <c r="H91" s="2" t="str">
        <f>IFERROR(__xludf.DUMMYFUNCTION("""COMPUTED_VALUE"""),"SGD")</f>
        <v>SGD</v>
      </c>
      <c r="I91" s="5" t="str">
        <f>IFERROR(__xludf.DUMMYFUNCTION("""COMPUTED_VALUE"""),"https://metro.com.sg/cart/52255697371457:1?attributes[click_id]=example_click_id")</f>
        <v>https://metro.com.sg/cart/52255697371457:1?attributes[click_id]=example_click_id</v>
      </c>
    </row>
    <row r="92">
      <c r="A92" s="1" t="str">
        <f>IFERROR(__xludf.DUMMYFUNCTION("""COMPUTED_VALUE"""),"Kitchen &amp; Dining")</f>
        <v>Kitchen &amp; Dining</v>
      </c>
      <c r="B92" s="1" t="str">
        <f>IFERROR(__xludf.DUMMYFUNCTION("""COMPUTED_VALUE"""),"US")</f>
        <v>US</v>
      </c>
      <c r="C92" s="3" t="str">
        <f>IFERROR(__xludf.DUMMYFUNCTION("""COMPUTED_VALUE"""),"misen.com")</f>
        <v>misen.com</v>
      </c>
      <c r="D92" s="1" t="str">
        <f>IFERROR(__xludf.DUMMYFUNCTION("""COMPUTED_VALUE"""),"AE, AG, AR, AT, AU, AW, BA, BB, BD, BE, BG, BH, BL, BM, BN, BO, BR, BS, BW, BZ, CA, CH, CL, CM, CN, CO, CR, CW, CY, CZ, DE, DK, DM, DO, EC, EE, EG, ES, ET, FI, FR, GA, GB, GF, GG, GH, GP, GR, GT, GY, HK, HN, HR, HT, HU, ID, IE, IL, IN, IT, JE, JM, JO, JP,"&amp;" KE, KH, KN, KR, KW, KY, LB, LC, LI, LK, LT, LU, LV, MA, MC, MG, ML, MM, MO, MQ, MT, MU, MV, MW, MX, MY, MZ, NA, NE, NG, NI, NL, NO, NZ, OM, PA, PE, PH, PK, PL, PT, PY, QA, RE, RO, RS, RW, SA, SE, SG, SI, SK, SN, SR, SV, TD, TG, TH, TR, TW, TZ, UG, US, UY"&amp;", VC, VE, VN, ZA, ZM, ZW")</f>
        <v>AE, AG, AR, AT, AU, AW, BA, BB, BD, BE, BG, BH, BL, BM, BN, BO, BR, BS, BW, BZ, CA, CH, CL, CM, CN, CO, CR, CW, CY, CZ, DE, DK, DM, DO, EC, EE, EG, ES, ET, FI, FR, GA, GB, GF, GG, GH, GP, GR, GT, GY, HK, HN, HR, HT, HU, ID, IE, IL, IN, IT, JE, JM, JO, JP, KE, KH, KN, KR, KW, KY, LB, LC, LI, LK, LT, LU, LV, MA, MC, MG, ML, MM, MO, MQ, MT, MU, MV, MW, MX, MY, MZ, NA, NE, NG, NI, NL, NO, NZ, OM, PA, PE, PH, PK, PL, PT, PY, QA, RE, RO, RS, RW, SA, SE, SG, SI, SK, SN, SR, SV, TD, TG, TH, TR, TW, TZ, UG, US, UY, VC, VE, VN, ZA, ZM, ZW</v>
      </c>
      <c r="E92" s="2" t="str">
        <f>IFERROR(__xludf.DUMMYFUNCTION("""COMPUTED_VALUE"""),"9-Piece Dinnerware + Flatware Set (Serves 1) - White / Polished")</f>
        <v>9-Piece Dinnerware + Flatware Set (Serves 1) - White / Polished</v>
      </c>
      <c r="F92" s="2" t="str">
        <f>IFERROR(__xludf.DUMMYFUNCTION("""COMPUTED_VALUE"""),"62697806299217")</f>
        <v>62697806299217</v>
      </c>
      <c r="G92" s="2">
        <f>IFERROR(__xludf.DUMMYFUNCTION("""COMPUTED_VALUE"""),139.0)</f>
        <v>139</v>
      </c>
      <c r="H92" s="2" t="str">
        <f>IFERROR(__xludf.DUMMYFUNCTION("""COMPUTED_VALUE"""),"USD")</f>
        <v>USD</v>
      </c>
      <c r="I92" s="5" t="str">
        <f>IFERROR(__xludf.DUMMYFUNCTION("""COMPUTED_VALUE"""),"https://misen.com/cart/62697806299217:1?attributes[click_id]=example_click_id")</f>
        <v>https://misen.com/cart/62697806299217:1?attributes[click_id]=example_click_id</v>
      </c>
    </row>
    <row r="93">
      <c r="A93" s="1" t="str">
        <f>IFERROR(__xludf.DUMMYFUNCTION("""COMPUTED_VALUE"""),"Books &amp; Stationery")</f>
        <v>Books &amp; Stationery</v>
      </c>
      <c r="B93" s="1" t="str">
        <f>IFERROR(__xludf.DUMMYFUNCTION("""COMPUTED_VALUE"""),"MY")</f>
        <v>MY</v>
      </c>
      <c r="C93" s="3" t="str">
        <f>IFERROR(__xludf.DUMMYFUNCTION("""COMPUTED_VALUE"""),"mossery.co")</f>
        <v>mossery.co</v>
      </c>
      <c r="D93" s="1" t="str">
        <f>IFERROR(__xludf.DUMMYFUNCTION("""COMPUTED_VALUE"""),"AD, AE, AG, AI, AL, AM, AN, AO, AR, AT, AU, AW, AX, BA, BB, BD, BE, BF, BG, BH, BI, BJ, BL, BM, BN, BO, BQ, BR, BS, BT, BV, BW, BY, BZ, CA, CC, CD, CF, CG, CH, CI, CK, CL, CM, CN, CO, CR, CU, CV, CW, CX, CY, CZ, DE, DJ, DK, DM, DO, DZ, EC, EE, EG, EH, ER,"&amp;" ES, ET, FI, FJ, FK, FO, FR, GA, GB, GD, GE, GF, GG, GH, GI, GL, GM, GN, GP, GQ, GR, GS, GT, GW, GY, HK, HM, HN, HR, HT, HU, ID, IE, IM, IN, IO, IQ, IS, IT, JE, JM, JO, JP, KE, KG, KH, KI, KM, KN, KR, KW, KY, KZ, LA, LB, LC, LI, LK, LR, LS, LT, LU, LV, LY"&amp;", MA, MC, MD, ME, MF, MG, MK, ML, MM, MN, MO, MQ, MR, MS, MT, MU, MV, MW, MX, MY, MZ, NA, NC, NE, NF, NG, NI, NL, NO, NP, NR, NU, NZ, OM, PA, PE, PF, PG, PH, PK, PL, PM, PN, PS, PT, PY, QA, RE, RO, RS, RU, RW, SA, SB, SC, SD, SE, SG, SH, SI, SJ, SK, SL, S"&amp;"M, SN, SO, SR, SS, ST, SV, SX, SY, SZ, TC, TD, TF, TG, TH, TJ, TK, TL, TM, TN, TO, TR, TT, TV, TW, TZ, UA, UG, UM, US, UY, UZ, VA, VC, VE, VG, VN, VU, WF, WS, XK, YE, YT, ZA, ZM, ZW")</f>
        <v>AD, AE, AG, AI, AL, AM, AN, AO, AR, AT, AU, AW, AX, BA, BB, BD, BE, BF, BG, BH, BI, BJ, BL, BM, BN, BO, BQ, BR, BS, BT, BV, BW, BY, BZ, CA, CC, CD, CF, CG, CH, CI, CK, CL, CM, CN, CO, CR, CU, CV, CW, CX, CY, CZ, DE, DJ, DK, DM, DO, DZ, EC, EE, EG, EH, ER, ES, ET, FI, FJ, FK, FO, FR, GA, GB, GD, GE, GF, GG, GH, GI, GL, GM, GN, GP, GQ, GR, GS, GT, GW, GY, HK, HM, HN, HR, HT, HU, ID, IE, IM, IN, IO, IQ, IS, IT, JE, JM, JO, JP, KE, KG, KH, KI, KM, KN, KR, KW, KY, KZ, LA, LB, LC, LI, LK, LR, LS, LT, LU, LV, LY, MA, MC, MD, ME, MF, MG, MK, ML, MM, MN, MO, MQ, MR, MS, MT, MU, MV, MW, MX, MY, MZ, NA, NC, NE, NF, NG, NI, NL, NO, NP, NR, NU, NZ, OM, PA, PE, PF, PG, PH, PK, PL, PM, PN, PS, PT, PY, QA, RE, RO, RS, RU, RW, SA, SB, SC, SD, SE, SG, SH, SI, SJ, SK, SL, SM, SN, SO, SR, SS, ST, SV, SX, SY, SZ, TC, TD, TF, TG, TH, TJ, TK, TL, TM, TN, TO, TR, TT, TV, TW, TZ, UA, UG, UM, US, UY, UZ, VA, VC, VE, VG, VN, VU, WF, WS, XK, YE, YT, ZA, ZM, ZW</v>
      </c>
      <c r="E93" s="2" t="str">
        <f>IFERROR(__xludf.DUMMYFUNCTION("""COMPUTED_VALUE"""),"Far From Above Undated Planner")</f>
        <v>Far From Above Undated Planner</v>
      </c>
      <c r="F93" s="2" t="str">
        <f>IFERROR(__xludf.DUMMYFUNCTION("""COMPUTED_VALUE"""),"48900544102553")</f>
        <v>48900544102553</v>
      </c>
      <c r="G93" s="2">
        <f>IFERROR(__xludf.DUMMYFUNCTION("""COMPUTED_VALUE"""),13.5)</f>
        <v>13.5</v>
      </c>
      <c r="H93" s="2" t="str">
        <f>IFERROR(__xludf.DUMMYFUNCTION("""COMPUTED_VALUE"""),"USD")</f>
        <v>USD</v>
      </c>
      <c r="I93" s="5" t="str">
        <f>IFERROR(__xludf.DUMMYFUNCTION("""COMPUTED_VALUE"""),"https://www.mossery.co/cart/48900544102553:1?attributes[click_id]=example_click_id")</f>
        <v>https://www.mossery.co/cart/48900544102553:1?attributes[click_id]=example_click_id</v>
      </c>
    </row>
    <row r="94">
      <c r="A94" s="1" t="str">
        <f>IFERROR(__xludf.DUMMYFUNCTION("""COMPUTED_VALUE"""),"Baby &amp; Kids")</f>
        <v>Baby &amp; Kids</v>
      </c>
      <c r="B94" s="1" t="str">
        <f>IFERROR(__xludf.DUMMYFUNCTION("""COMPUTED_VALUE"""),"SG")</f>
        <v>SG</v>
      </c>
      <c r="C94" s="3" t="str">
        <f>IFERROR(__xludf.DUMMYFUNCTION("""COMPUTED_VALUE"""),"motherswork.com.sg")</f>
        <v>motherswork.com.sg</v>
      </c>
      <c r="D94" s="1" t="str">
        <f>IFERROR(__xludf.DUMMYFUNCTION("""COMPUTED_VALUE"""),"HK, ID, KR, MY, SG, TH, VN")</f>
        <v>HK, ID, KR, MY, SG, TH, VN</v>
      </c>
      <c r="E94" s="2" t="str">
        <f>IFERROR(__xludf.DUMMYFUNCTION("""COMPUTED_VALUE"""),"Little Rei Eco-Conscious Tape Diapers - Newborn (36pc)")</f>
        <v>Little Rei Eco-Conscious Tape Diapers - Newborn (36pc)</v>
      </c>
      <c r="F94" s="2" t="str">
        <f>IFERROR(__xludf.DUMMYFUNCTION("""COMPUTED_VALUE"""),"41661023813690")</f>
        <v>41661023813690</v>
      </c>
      <c r="G94" s="2">
        <f>IFERROR(__xludf.DUMMYFUNCTION("""COMPUTED_VALUE"""),16.9)</f>
        <v>16.9</v>
      </c>
      <c r="H94" s="2" t="str">
        <f>IFERROR(__xludf.DUMMYFUNCTION("""COMPUTED_VALUE"""),"SGD")</f>
        <v>SGD</v>
      </c>
      <c r="I94" s="5" t="str">
        <f>IFERROR(__xludf.DUMMYFUNCTION("""COMPUTED_VALUE"""),"https://motherswork.com.sg/cart/41661023813690:1?attributes[click_id]=example_click_id")</f>
        <v>https://motherswork.com.sg/cart/41661023813690:1?attributes[click_id]=example_click_id</v>
      </c>
    </row>
    <row r="95">
      <c r="A95" s="1" t="str">
        <f>IFERROR(__xludf.DUMMYFUNCTION("""COMPUTED_VALUE"""),"Maker &amp; DIY Electronics")</f>
        <v>Maker &amp; DIY Electronics</v>
      </c>
      <c r="B95" s="1" t="str">
        <f>IFERROR(__xludf.DUMMYFUNCTION("""COMPUTED_VALUE"""),"US")</f>
        <v>US</v>
      </c>
      <c r="C95" s="3" t="str">
        <f>IFERROR(__xludf.DUMMYFUNCTION("""COMPUTED_VALUE"""),"nzxt.com")</f>
        <v>nzxt.com</v>
      </c>
      <c r="D95" s="1" t="str">
        <f>IFERROR(__xludf.DUMMYFUNCTION("""COMPUTED_VALUE"""),"*, CA, JP, US")</f>
        <v>*, CA, JP, US</v>
      </c>
      <c r="E95" s="2" t="str">
        <f>IFERROR(__xludf.DUMMYFUNCTION("""COMPUTED_VALUE"""),"F420 RGB Core - White")</f>
        <v>F420 RGB Core - White</v>
      </c>
      <c r="F95" s="2" t="str">
        <f>IFERROR(__xludf.DUMMYFUNCTION("""COMPUTED_VALUE"""),"40575815385160")</f>
        <v>40575815385160</v>
      </c>
      <c r="G95" s="2">
        <f>IFERROR(__xludf.DUMMYFUNCTION("""COMPUTED_VALUE"""),74.99)</f>
        <v>74.99</v>
      </c>
      <c r="H95" s="2" t="str">
        <f>IFERROR(__xludf.DUMMYFUNCTION("""COMPUTED_VALUE"""),"USD")</f>
        <v>USD</v>
      </c>
      <c r="I95" s="5" t="str">
        <f>IFERROR(__xludf.DUMMYFUNCTION("""COMPUTED_VALUE"""),"https://nzxt.com/cart/40575815385160:1?attributes[click_id]=example_click_id")</f>
        <v>https://nzxt.com/cart/40575815385160:1?attributes[click_id]=example_click_id</v>
      </c>
    </row>
    <row r="96">
      <c r="A96" s="1" t="str">
        <f>IFERROR(__xludf.DUMMYFUNCTION("""COMPUTED_VALUE"""),"Grocery &amp; Pantry")</f>
        <v>Grocery &amp; Pantry</v>
      </c>
      <c r="B96" s="1" t="str">
        <f>IFERROR(__xludf.DUMMYFUNCTION("""COMPUTED_VALUE"""),"HK")</f>
        <v>HK</v>
      </c>
      <c r="C96" s="3" t="str">
        <f>IFERROR(__xludf.DUMMYFUNCTION("""COMPUTED_VALUE"""),"online.citysuper.com.hk")</f>
        <v>online.citysuper.com.hk</v>
      </c>
      <c r="D96" s="1" t="str">
        <f>IFERROR(__xludf.DUMMYFUNCTION("""COMPUTED_VALUE"""),"HK")</f>
        <v>HK</v>
      </c>
      <c r="E96" s="2" t="str">
        <f>IFERROR(__xludf.DUMMYFUNCTION("""COMPUTED_VALUE"""),"HIPP Organic Baby's Biscuit (180g)")</f>
        <v>HIPP Organic Baby's Biscuit (180g)</v>
      </c>
      <c r="F96" s="2" t="str">
        <f>IFERROR(__xludf.DUMMYFUNCTION("""COMPUTED_VALUE"""),"40900339204139")</f>
        <v>40900339204139</v>
      </c>
      <c r="G96" s="2">
        <f>IFERROR(__xludf.DUMMYFUNCTION("""COMPUTED_VALUE"""),50.0)</f>
        <v>50</v>
      </c>
      <c r="H96" s="2" t="str">
        <f>IFERROR(__xludf.DUMMYFUNCTION("""COMPUTED_VALUE"""),"HKD")</f>
        <v>HKD</v>
      </c>
      <c r="I96" s="5" t="str">
        <f>IFERROR(__xludf.DUMMYFUNCTION("""COMPUTED_VALUE"""),"https://online.citysuper.com.hk/cart/40900339204139:1?attributes[click_id]=example_click_id")</f>
        <v>https://online.citysuper.com.hk/cart/40900339204139:1?attributes[click_id]=example_click_id</v>
      </c>
    </row>
    <row r="97">
      <c r="A97" s="1" t="str">
        <f>IFERROR(__xludf.DUMMYFUNCTION("""COMPUTED_VALUE"""),"Household Essentials")</f>
        <v>Household Essentials</v>
      </c>
      <c r="B97" s="1" t="str">
        <f>IFERROR(__xludf.DUMMYFUNCTION("""COMPUTED_VALUE"""),"US")</f>
        <v>US</v>
      </c>
      <c r="C97" s="3" t="str">
        <f>IFERROR(__xludf.DUMMYFUNCTION("""COMPUTED_VALUE"""),"packagefreeshop.com")</f>
        <v>packagefreeshop.com</v>
      </c>
      <c r="D97" s="1" t="str">
        <f>IFERROR(__xludf.DUMMYFUNCTION("""COMPUTED_VALUE"""),"*, US")</f>
        <v>*, US</v>
      </c>
      <c r="E97" s="2" t="str">
        <f>IFERROR(__xludf.DUMMYFUNCTION("""COMPUTED_VALUE"""),"Multi-Purpose Cleaning Spray - Lavender / Nozzle")</f>
        <v>Multi-Purpose Cleaning Spray - Lavender / Nozzle</v>
      </c>
      <c r="F97" s="2" t="str">
        <f>IFERROR(__xludf.DUMMYFUNCTION("""COMPUTED_VALUE"""),"43868446261345")</f>
        <v>43868446261345</v>
      </c>
      <c r="G97" s="2">
        <f>IFERROR(__xludf.DUMMYFUNCTION("""COMPUTED_VALUE"""),14.0)</f>
        <v>14</v>
      </c>
      <c r="H97" s="2" t="str">
        <f>IFERROR(__xludf.DUMMYFUNCTION("""COMPUTED_VALUE"""),"USD")</f>
        <v>USD</v>
      </c>
      <c r="I97" s="5" t="str">
        <f>IFERROR(__xludf.DUMMYFUNCTION("""COMPUTED_VALUE"""),"https://packagefreeshop.com/cart/43868446261345:1?attributes[click_id]=example_click_id")</f>
        <v>https://packagefreeshop.com/cart/43868446261345:1?attributes[click_id]=example_click_id</v>
      </c>
    </row>
    <row r="98">
      <c r="A98" s="1" t="str">
        <f>IFERROR(__xludf.DUMMYFUNCTION("""COMPUTED_VALUE"""),"Coffee &amp; Tea")</f>
        <v>Coffee &amp; Tea</v>
      </c>
      <c r="B98" s="1" t="str">
        <f>IFERROR(__xludf.DUMMYFUNCTION("""COMPUTED_VALUE"""),"SG")</f>
        <v>SG</v>
      </c>
      <c r="C98" s="3" t="str">
        <f>IFERROR(__xludf.DUMMYFUNCTION("""COMPUTED_VALUE"""),"parchmen.co")</f>
        <v>parchmen.co</v>
      </c>
      <c r="D98" s="1" t="str">
        <f>IFERROR(__xludf.DUMMYFUNCTION("""COMPUTED_VALUE"""),"*, MY, SG")</f>
        <v>*, MY, SG</v>
      </c>
      <c r="E98" s="2" t="str">
        <f>IFERROR(__xludf.DUMMYFUNCTION("""COMPUTED_VALUE"""),"Cindy Li, Thanaka Coffee (Champagne Garden) - 50g / Whole bean")</f>
        <v>Cindy Li, Thanaka Coffee (Champagne Garden) - 50g / Whole bean</v>
      </c>
      <c r="F98" s="2" t="str">
        <f>IFERROR(__xludf.DUMMYFUNCTION("""COMPUTED_VALUE"""),"47931586478257")</f>
        <v>47931586478257</v>
      </c>
      <c r="G98" s="2">
        <f>IFERROR(__xludf.DUMMYFUNCTION("""COMPUTED_VALUE"""),8.0)</f>
        <v>8</v>
      </c>
      <c r="H98" s="2" t="str">
        <f>IFERROR(__xludf.DUMMYFUNCTION("""COMPUTED_VALUE"""),"SGD")</f>
        <v>SGD</v>
      </c>
      <c r="I98" s="5" t="str">
        <f>IFERROR(__xludf.DUMMYFUNCTION("""COMPUTED_VALUE"""),"https://www.parchmen.co/cart/47931586478257:1?attributes[click_id]=example_click_id")</f>
        <v>https://www.parchmen.co/cart/47931586478257:1?attributes[click_id]=example_click_id</v>
      </c>
    </row>
    <row r="99">
      <c r="A99" s="1" t="str">
        <f>IFERROR(__xludf.DUMMYFUNCTION("""COMPUTED_VALUE"""),"Grocery &amp; Pantry")</f>
        <v>Grocery &amp; Pantry</v>
      </c>
      <c r="B99" s="1" t="str">
        <f>IFERROR(__xludf.DUMMYFUNCTION("""COMPUTED_VALUE"""),"US")</f>
        <v>US</v>
      </c>
      <c r="C99" s="3" t="str">
        <f>IFERROR(__xludf.DUMMYFUNCTION("""COMPUTED_VALUE"""),"partakefoods.com")</f>
        <v>partakefoods.com</v>
      </c>
      <c r="D99" s="1" t="str">
        <f>IFERROR(__xludf.DUMMYFUNCTION("""COMPUTED_VALUE"""),"US")</f>
        <v>US</v>
      </c>
      <c r="E99" s="2" t="str">
        <f>IFERROR(__xludf.DUMMYFUNCTION("""COMPUTED_VALUE"""),"Teeny Tiny Chocolate Chip - 6 boxes")</f>
        <v>Teeny Tiny Chocolate Chip - 6 boxes</v>
      </c>
      <c r="F99" s="2" t="str">
        <f>IFERROR(__xludf.DUMMYFUNCTION("""COMPUTED_VALUE"""),"43267581870178")</f>
        <v>43267581870178</v>
      </c>
      <c r="G99" s="2">
        <f>IFERROR(__xludf.DUMMYFUNCTION("""COMPUTED_VALUE"""),35.0)</f>
        <v>35</v>
      </c>
      <c r="H99" s="2" t="str">
        <f>IFERROR(__xludf.DUMMYFUNCTION("""COMPUTED_VALUE"""),"USD")</f>
        <v>USD</v>
      </c>
      <c r="I99" s="5" t="str">
        <f>IFERROR(__xludf.DUMMYFUNCTION("""COMPUTED_VALUE"""),"https://partakefoods.com/cart/43267581870178:1?attributes[click_id]=example_click_id")</f>
        <v>https://partakefoods.com/cart/43267581870178:1?attributes[click_id]=example_click_id</v>
      </c>
    </row>
    <row r="100">
      <c r="A100" s="1" t="str">
        <f>IFERROR(__xludf.DUMMYFUNCTION("""COMPUTED_VALUE"""),"Fashion &amp; Apparel")</f>
        <v>Fashion &amp; Apparel</v>
      </c>
      <c r="B100" s="1" t="str">
        <f>IFERROR(__xludf.DUMMYFUNCTION("""COMPUTED_VALUE"""),"AU")</f>
        <v>AU</v>
      </c>
      <c r="C100" s="3" t="str">
        <f>IFERROR(__xludf.DUMMYFUNCTION("""COMPUTED_VALUE"""),"patagonia.com.au")</f>
        <v>patagonia.com.au</v>
      </c>
      <c r="D100" s="1" t="str">
        <f>IFERROR(__xludf.DUMMYFUNCTION("""COMPUTED_VALUE"""),"AC, AD, AE, AF, AG, AI, AL, AM, AO, AR, AT, AU, AW, AX, AZ, BA, BB, BD, BE, BF, BG, BH, BI, BJ, BL, BM, BN, BO, BQ, BR, BS, BT, BW, BY, BZ, CA, CC, CD, CF, CG, CH, CI, CL, CM, CN, CO, CR, CV, CW, CX, CY, CZ, DE, DJ, DK, DM, DO, DZ, EC, EE, EG, EH, ER, ES,"&amp;" ET, FI, FJ, FK, FO, FR, GA, GD, GE, GF, GG, GH, GI, GL, GM, GN, GP, GQ, GR, GS, GT, GW, GY, HK, HN, HR, HT, HU, ID, IE, IL, IM, IN, IO, IQ, IS, IT, JE, JM, JO, JP, KE, KG, KH, KI, KM, KN, KR, KW, KY, KZ, LA, LB, LC, LI, LK, LR, LS, LT, LU, LV, LY, MA, MC"&amp;", MD, ME, MF, MG, MK, ML, MM, MN, MO, MQ, MR, MS, MT, MU, MV, MW, MX, MY, MZ, NA, NC, NE, NF, NG, NI, NL, NO, NP, NR, NU, NZ, OM, PA, PE, PF, PG, PH, PK, PL, PM, PN, PS, PT, PY, QA, RE, RO, RS, RU, RW, SA, SB, SC, SD, SE, SG, SH, SI, SJ, SK, SL, SM, SN, S"&amp;"O, SR, SS, ST, SV, SX, SZ, TA, TD, TF, TG, TH, TJ, TK, TL, TM, TN, TO, TT, TV, TW, TZ, UA, UG, UM, US, UY, UZ, VA, VC, VE, VG, VN, VU, WF, WS, XK, YE, YT, ZA, ZM, ZW")</f>
        <v>AC, AD, AE, AF, AG, AI, AL, AM, AO, AR, AT, AU, AW, AX, AZ, BA, BB, BD, BE, BF, BG, BH, BI, BJ, BL, BM, BN, BO, BQ, BR, BS, BT, BW, BY, BZ, CA, CC, CD, CF, CG, CH, CI, CL, CM, CN, CO, CR, CV, CW, CX, CY, CZ, DE, DJ, DK, DM, DO, DZ, EC, EE, EG, EH, ER, ES, ET, FI, FJ, FK, FO, FR, GA, GD, GE, GF, GG, GH, GI, GL, GM, GN, GP, GQ, GR, GS, GT, GW, GY, HK, HN, HR, HT, HU, ID, IE, IL, IM, IN, IO, IQ, IS, IT, JE, JM, JO, JP, KE, KG, KH, KI, KM, KN, KR, KW, KY, KZ, LA, LB, LC, LI, LK, LR, LS, LT, LU, LV, LY, MA, MC, MD, ME, MF, MG, MK, ML, MM, MN, MO, MQ, MR, MS, MT, MU, MV, MW, MX, MY, MZ, NA, NC, NE, NF, NG, NI, NL, NO, NP, NR, NU, NZ, OM, PA, PE, PF, PG, PH, PK, PL, PM, PN, PS, PT, PY, QA, RE, RO, RS, RU, RW, SA, SB, SC, SD, SE, SG, SH, SI, SJ, SK, SL, SM, SN, SO, SR, SS, ST, SV, SX, SZ, TA, TD, TF, TG, TH, TJ, TK, TL, TM, TN, TO, TT, TV, TW, TZ, UA, UG, UM, US, UY, UZ, VA, VC, VE, VG, VN, VU, WF, WS, XK, YE, YT, ZA, ZM, ZW</v>
      </c>
      <c r="E100" s="2" t="str">
        <f>IFERROR(__xludf.DUMMYFUNCTION("""COMPUTED_VALUE"""),"Overlook Merino Wool Liner Beanie - Black")</f>
        <v>Overlook Merino Wool Liner Beanie - Black</v>
      </c>
      <c r="F100" s="2" t="str">
        <f>IFERROR(__xludf.DUMMYFUNCTION("""COMPUTED_VALUE"""),"40115988365384")</f>
        <v>40115988365384</v>
      </c>
      <c r="G100" s="2">
        <f>IFERROR(__xludf.DUMMYFUNCTION("""COMPUTED_VALUE"""),59.95)</f>
        <v>59.95</v>
      </c>
      <c r="H100" s="2" t="str">
        <f>IFERROR(__xludf.DUMMYFUNCTION("""COMPUTED_VALUE"""),"AUD")</f>
        <v>AUD</v>
      </c>
      <c r="I100" s="5" t="str">
        <f>IFERROR(__xludf.DUMMYFUNCTION("""COMPUTED_VALUE"""),"https://www.patagonia.com.au/cart/40115988365384:1?attributes[click_id]=example_click_id")</f>
        <v>https://www.patagonia.com.au/cart/40115988365384:1?attributes[click_id]=example_click_id</v>
      </c>
    </row>
    <row r="101">
      <c r="A101" s="1" t="str">
        <f>IFERROR(__xludf.DUMMYFUNCTION("""COMPUTED_VALUE"""),"Footwear &amp; Bags")</f>
        <v>Footwear &amp; Bags</v>
      </c>
      <c r="B101" s="1" t="str">
        <f>IFERROR(__xludf.DUMMYFUNCTION("""COMPUTED_VALUE"""),"SG")</f>
        <v>SG</v>
      </c>
      <c r="C101" s="3" t="str">
        <f>IFERROR(__xludf.DUMMYFUNCTION("""COMPUTED_VALUE"""),"pazzion.com")</f>
        <v>pazzion.com</v>
      </c>
      <c r="D101" s="1" t="str">
        <f>IFERROR(__xludf.DUMMYFUNCTION("""COMPUTED_VALUE"""),"AE, AT, AU, BE, BG, BN, CA, CH, CN, CY, DE, DK, EE, ES, FI, FR, GB, GR, HK, HR, HU, ID, IE, IN, IT, JP, KR, LI, LT, LU, LV, MC, MO, MT, MY, NL, NO, NZ, PH, PL, PT, RO, SE, SG, SI, SK, TH, TW, US, VN")</f>
        <v>AE, AT, AU, BE, BG, BN, CA, CH, CN, CY, DE, DK, EE, ES, FI, FR, GB, GR, HK, HR, HU, ID, IE, IN, IT, JP, KR, LI, LT, LU, LV, MC, MO, MT, MY, NL, NO, NZ, PH, PL, PT, RO, SE, SG, SI, SK, TH, TW, US, VN</v>
      </c>
      <c r="E101" s="2" t="str">
        <f>IFERROR(__xludf.DUMMYFUNCTION("""COMPUTED_VALUE"""),"Cara Woven Bag - Dark Brown - XL")</f>
        <v>Cara Woven Bag - Dark Brown - XL</v>
      </c>
      <c r="F101" s="2" t="str">
        <f>IFERROR(__xludf.DUMMYFUNCTION("""COMPUTED_VALUE"""),"48571082342643")</f>
        <v>48571082342643</v>
      </c>
      <c r="G101" s="2">
        <f>IFERROR(__xludf.DUMMYFUNCTION("""COMPUTED_VALUE"""),96.0)</f>
        <v>96</v>
      </c>
      <c r="H101" s="2" t="str">
        <f>IFERROR(__xludf.DUMMYFUNCTION("""COMPUTED_VALUE"""),"SGD")</f>
        <v>SGD</v>
      </c>
      <c r="I101" s="5" t="str">
        <f>IFERROR(__xludf.DUMMYFUNCTION("""COMPUTED_VALUE"""),"https://www.pazzion.com/cart/48571082342643:1?attributes[click_id]=example_click_id")</f>
        <v>https://www.pazzion.com/cart/48571082342643:1?attributes[click_id]=example_click_id</v>
      </c>
    </row>
    <row r="102">
      <c r="A102" s="1" t="str">
        <f>IFERROR(__xludf.DUMMYFUNCTION("""COMPUTED_VALUE"""),"Office &amp; Business Supplies")</f>
        <v>Office &amp; Business Supplies</v>
      </c>
      <c r="B102" s="1" t="str">
        <f>IFERROR(__xludf.DUMMYFUNCTION("""COMPUTED_VALUE"""),"SG")</f>
        <v>SG</v>
      </c>
      <c r="C102" s="3" t="str">
        <f>IFERROR(__xludf.DUMMYFUNCTION("""COMPUTED_VALUE"""),"picketandrail.com")</f>
        <v>picketandrail.com</v>
      </c>
      <c r="D102" s="1" t="str">
        <f>IFERROR(__xludf.DUMMYFUNCTION("""COMPUTED_VALUE"""),"SG")</f>
        <v>SG</v>
      </c>
      <c r="E102" s="2" t="str">
        <f>IFERROR(__xludf.DUMMYFUNCTION("""COMPUTED_VALUE"""),"Geometry 12 Custom Table - Cantilever")</f>
        <v>Geometry 12 Custom Table - Cantilever</v>
      </c>
      <c r="F102" s="2" t="str">
        <f>IFERROR(__xludf.DUMMYFUNCTION("""COMPUTED_VALUE"""),"50521485770822")</f>
        <v>50521485770822</v>
      </c>
      <c r="G102" s="2">
        <f>IFERROR(__xludf.DUMMYFUNCTION("""COMPUTED_VALUE"""),699.0)</f>
        <v>699</v>
      </c>
      <c r="H102" s="2" t="str">
        <f>IFERROR(__xludf.DUMMYFUNCTION("""COMPUTED_VALUE"""),"SGD")</f>
        <v>SGD</v>
      </c>
      <c r="I102" s="5" t="str">
        <f>IFERROR(__xludf.DUMMYFUNCTION("""COMPUTED_VALUE"""),"https://picketandrail.com/cart/50521485770822:1?attributes[click_id]=example_click_id")</f>
        <v>https://picketandrail.com/cart/50521485770822:1?attributes[click_id]=example_click_id</v>
      </c>
    </row>
    <row r="103">
      <c r="A103" s="1" t="str">
        <f>IFERROR(__xludf.DUMMYFUNCTION("""COMPUTED_VALUE"""),"Computers &amp; Electronics")</f>
        <v>Computers &amp; Electronics</v>
      </c>
      <c r="B103" s="1" t="str">
        <f>IFERROR(__xludf.DUMMYFUNCTION("""COMPUTED_VALUE"""),"US")</f>
        <v>US</v>
      </c>
      <c r="C103" s="3" t="str">
        <f>IFERROR(__xludf.DUMMYFUNCTION("""COMPUTED_VALUE"""),"pixiogaming.com")</f>
        <v>pixiogaming.com</v>
      </c>
      <c r="D103" s="1" t="str">
        <f>IFERROR(__xludf.DUMMYFUNCTION("""COMPUTED_VALUE"""),"CA, US")</f>
        <v>CA, US</v>
      </c>
      <c r="E103" s="2" t="str">
        <f>IFERROR(__xludf.DUMMYFUNCTION("""COMPUTED_VALUE"""),"Pixio PX27 LUMA OLED Glossy")</f>
        <v>Pixio PX27 LUMA OLED Glossy</v>
      </c>
      <c r="F103" s="2" t="str">
        <f>IFERROR(__xludf.DUMMYFUNCTION("""COMPUTED_VALUE"""),"52521820094596")</f>
        <v>52521820094596</v>
      </c>
      <c r="G103" s="2">
        <f>IFERROR(__xludf.DUMMYFUNCTION("""COMPUTED_VALUE"""),899.99)</f>
        <v>899.99</v>
      </c>
      <c r="H103" s="2" t="str">
        <f>IFERROR(__xludf.DUMMYFUNCTION("""COMPUTED_VALUE"""),"USD")</f>
        <v>USD</v>
      </c>
      <c r="I103" s="5" t="str">
        <f>IFERROR(__xludf.DUMMYFUNCTION("""COMPUTED_VALUE"""),"https://pixiogaming.com/cart/52521820094596:1?attributes[click_id]=example_click_id")</f>
        <v>https://pixiogaming.com/cart/52521820094596:1?attributes[click_id]=example_click_id</v>
      </c>
    </row>
    <row r="104">
      <c r="A104" s="1" t="str">
        <f>IFERROR(__xludf.DUMMYFUNCTION("""COMPUTED_VALUE"""),"Bakery &amp; Desserts")</f>
        <v>Bakery &amp; Desserts</v>
      </c>
      <c r="B104" s="1" t="str">
        <f>IFERROR(__xludf.DUMMYFUNCTION("""COMPUTED_VALUE"""),"SG")</f>
        <v>SG</v>
      </c>
      <c r="C104" s="3" t="str">
        <f>IFERROR(__xludf.DUMMYFUNCTION("""COMPUTED_VALUE"""),"plainvanilla.com.sg")</f>
        <v>plainvanilla.com.sg</v>
      </c>
      <c r="D104" s="1" t="str">
        <f>IFERROR(__xludf.DUMMYFUNCTION("""COMPUTED_VALUE"""),"SG")</f>
        <v>SG</v>
      </c>
      <c r="E104" s="2" t="str">
        <f>IFERROR(__xludf.DUMMYFUNCTION("""COMPUTED_VALUE"""),"Box of 6 Cupcakes - Specials")</f>
        <v>Box of 6 Cupcakes - Specials</v>
      </c>
      <c r="F104" s="2" t="str">
        <f>IFERROR(__xludf.DUMMYFUNCTION("""COMPUTED_VALUE"""),"42074587496610")</f>
        <v>42074587496610</v>
      </c>
      <c r="G104" s="2">
        <f>IFERROR(__xludf.DUMMYFUNCTION("""COMPUTED_VALUE"""),34.5)</f>
        <v>34.5</v>
      </c>
      <c r="H104" s="2" t="str">
        <f>IFERROR(__xludf.DUMMYFUNCTION("""COMPUTED_VALUE"""),"SGD")</f>
        <v>SGD</v>
      </c>
      <c r="I104" s="5" t="str">
        <f>IFERROR(__xludf.DUMMYFUNCTION("""COMPUTED_VALUE"""),"https://plainvanilla.com.sg/cart/42074587496610:1?attributes[click_id]=example_click_id")</f>
        <v>https://plainvanilla.com.sg/cart/42074587496610:1?attributes[click_id]=example_click_id</v>
      </c>
    </row>
    <row r="105">
      <c r="A105" s="1" t="str">
        <f>IFERROR(__xludf.DUMMYFUNCTION("""COMPUTED_VALUE"""),"Computers &amp; Electronics")</f>
        <v>Computers &amp; Electronics</v>
      </c>
      <c r="B105" s="1" t="str">
        <f>IFERROR(__xludf.DUMMYFUNCTION("""COMPUTED_VALUE"""),"NZ")</f>
        <v>NZ</v>
      </c>
      <c r="C105" s="3" t="str">
        <f>IFERROR(__xludf.DUMMYFUNCTION("""COMPUTED_VALUE"""),"playtech.co.nz")</f>
        <v>playtech.co.nz</v>
      </c>
      <c r="D105" s="1" t="str">
        <f>IFERROR(__xludf.DUMMYFUNCTION("""COMPUTED_VALUE"""),"AC, AD, AE, AF, AG, AI, AL, AM, AO, AR, AT, AU, AW, AX, AZ, BA, BB, BD, BE, BF, BG, BH, BI, BJ, BL, BM, BN, BO, BQ, BR, BS, BT, BW, BY, BZ, CA, CC, CD, CF, CG, CH, CI, CK, CL, CM, CN, CO, CR, CV, CW, CX, CY, CZ, DE, DJ, DK, DM, DO, DZ, EC, EE, EG, EH, ER,"&amp;" ES, ET, FI, FJ, FK, FO, FR, GA, GB, GD, GE, GF, GG, GH, GI, GL, GM, GN, GP, GQ, GR, GS, GT, GW, GY, HK, HN, HR, HT, HU, ID, IE, IL, IM, IN, IO, IQ, IS, IT, JE, JM, JO, JP, KE, KG, KH, KI, KM, KN, KR, KW, KY, KZ, LA, LB, LC, LI, LK, LR, LS, LT, LU, LV, LY"&amp;", MA, MC, MD, ME, MF, MG, MK, ML, MM, MN, MO, MQ, MR, MS, MT, MU, MV, MW, MX, MY, MZ, NA, NC, NE, NF, NG, NI, NL, NO, NP, NR, NU, NZ, OM, PA, PE, PF, PG, PH, PK, PL, PM, PN, PS, PT, PY, QA, RE, RO, RS, RU, RW, SA, SB, SC, SD, SE, SG, SH, SI, SJ, SK, SL, S"&amp;"M, SN, SO, SR, SS, ST, SV, SX, SZ, TA, TC, TD, TF, TG, TH, TJ, TK, TL, TM, TN, TO, TR, TT, TV, TW, TZ, UA, UG, UM, US, UY, UZ, VA, VC, VE, VG, VN, VU, WF, WS, XK, YE, YT, ZA, ZM, ZW")</f>
        <v>AC, AD, AE, AF, AG, AI, AL, AM, AO, AR, AT, AU, AW, AX, AZ, BA, BB, BD, BE, BF, BG, BH, BI, BJ, BL, BM, BN, BO, BQ, BR, BS, BT, BW, BY, BZ, CA, CC, CD, CF, CG, CH, CI, CK, CL, CM, CN, CO, CR, CV, CW, CX, CY, CZ, DE, DJ, DK, DM, DO, DZ, EC, EE, EG, EH, ER, ES, ET, FI, FJ, FK, FO, FR, GA, GB, GD, GE, GF, GG, GH, GI, GL, GM, GN, GP, GQ, GR, GS, GT, GW, GY, HK, HN, HR, HT, HU, ID, IE, IL, IM, IN, IO, IQ, IS, IT, JE, JM, JO, JP, KE, KG, KH, KI, KM, KN, KR, KW, KY, KZ, LA, LB, LC, LI, LK, LR, LS, LT, LU, LV, LY, MA, MC, MD, ME, MF, MG, MK, ML, MM, MN, MO, MQ, MR, MS, MT, MU, MV, MW, MX, MY, MZ, NA, NC, NE, NF, NG, NI, NL, NO, NP, NR, NU, NZ, OM, PA, PE, PF, PG, PH, PK, PL, PM, PN, PS, PT, PY, QA, RE, RO, RS, RU, RW, SA, SB, SC, SD, SE, SG, SH, SI, SJ, SK, SL, SM, SN, SO, SR, SS, ST, SV, SX, SZ, TA, TC, TD, TF, TG, TH, TJ, TK, TL, TM, TN, TO, TR, TT, TV, TW, TZ, UA, UG, UM, US, UY, UZ, VA, VC, VE, VG, VN, VU, WF, WS, XK, YE, YT, ZA, ZM, ZW</v>
      </c>
      <c r="E105" s="2" t="str">
        <f>IFERROR(__xludf.DUMMYFUNCTION("""COMPUTED_VALUE"""),"The Hunter Evolve Dark")</f>
        <v>The Hunter Evolve Dark</v>
      </c>
      <c r="F105" s="2" t="str">
        <f>IFERROR(__xludf.DUMMYFUNCTION("""COMPUTED_VALUE"""),"53833591455908")</f>
        <v>53833591455908</v>
      </c>
      <c r="G105" s="2">
        <f>IFERROR(__xludf.DUMMYFUNCTION("""COMPUTED_VALUE"""),3999.0)</f>
        <v>3999</v>
      </c>
      <c r="H105" s="2" t="str">
        <f>IFERROR(__xludf.DUMMYFUNCTION("""COMPUTED_VALUE"""),"NZD")</f>
        <v>NZD</v>
      </c>
      <c r="I105" s="5" t="str">
        <f>IFERROR(__xludf.DUMMYFUNCTION("""COMPUTED_VALUE"""),"https://playtech.co.nz/cart/53833591455908:1?attributes[click_id]=example_click_id")</f>
        <v>https://playtech.co.nz/cart/53833591455908:1?attributes[click_id]=example_click_id</v>
      </c>
    </row>
    <row r="106">
      <c r="A106" s="1" t="str">
        <f>IFERROR(__xludf.DUMMYFUNCTION("""COMPUTED_VALUE"""),"Computers &amp; Electronics")</f>
        <v>Computers &amp; Electronics</v>
      </c>
      <c r="B106" s="1" t="str">
        <f>IFERROR(__xludf.DUMMYFUNCTION("""COMPUTED_VALUE"""),"US")</f>
        <v>US</v>
      </c>
      <c r="C106" s="3" t="str">
        <f>IFERROR(__xludf.DUMMYFUNCTION("""COMPUTED_VALUE"""),"plugable.com")</f>
        <v>plugable.com</v>
      </c>
      <c r="D106" s="1" t="str">
        <f>IFERROR(__xludf.DUMMYFUNCTION("""COMPUTED_VALUE"""),"US")</f>
        <v>US</v>
      </c>
      <c r="E106" s="2" t="str">
        <f>IFERROR(__xludf.DUMMYFUNCTION("""COMPUTED_VALUE"""),"Plugable USB-C Triple Monitor Docking Station, 100W Laptop Charging")</f>
        <v>Plugable USB-C Triple Monitor Docking Station, 100W Laptop Charging</v>
      </c>
      <c r="F106" s="2" t="str">
        <f>IFERROR(__xludf.DUMMYFUNCTION("""COMPUTED_VALUE"""),"52269931266279")</f>
        <v>52269931266279</v>
      </c>
      <c r="G106" s="2">
        <f>IFERROR(__xludf.DUMMYFUNCTION("""COMPUTED_VALUE"""),149.99)</f>
        <v>149.99</v>
      </c>
      <c r="H106" s="2" t="str">
        <f>IFERROR(__xludf.DUMMYFUNCTION("""COMPUTED_VALUE"""),"USD")</f>
        <v>USD</v>
      </c>
      <c r="I106" s="5" t="str">
        <f>IFERROR(__xludf.DUMMYFUNCTION("""COMPUTED_VALUE"""),"https://plugable.com/cart/52269931266279:1?attributes[click_id]=example_click_id")</f>
        <v>https://plugable.com/cart/52269931266279:1?attributes[click_id]=example_click_id</v>
      </c>
    </row>
    <row r="107">
      <c r="A107" s="1" t="str">
        <f>IFERROR(__xludf.DUMMYFUNCTION("""COMPUTED_VALUE"""),"Computers &amp; Electronics")</f>
        <v>Computers &amp; Electronics</v>
      </c>
      <c r="B107" s="1" t="str">
        <f>IFERROR(__xludf.DUMMYFUNCTION("""COMPUTED_VALUE"""),"AU")</f>
        <v>AU</v>
      </c>
      <c r="C107" s="3" t="str">
        <f>IFERROR(__xludf.DUMMYFUNCTION("""COMPUTED_VALUE"""),"polartech.com.au")</f>
        <v>polartech.com.au</v>
      </c>
      <c r="D107" s="1" t="str">
        <f>IFERROR(__xludf.DUMMYFUNCTION("""COMPUTED_VALUE"""),"AU")</f>
        <v>AU</v>
      </c>
      <c r="E107" s="2" t="str">
        <f>IFERROR(__xludf.DUMMYFUNCTION("""COMPUTED_VALUE"""),"ASUS X442 Series Replacement Laptop Keyboard - US Layout Black")</f>
        <v>ASUS X442 Series Replacement Laptop Keyboard - US Layout Black</v>
      </c>
      <c r="F107" s="2" t="str">
        <f>IFERROR(__xludf.DUMMYFUNCTION("""COMPUTED_VALUE"""),"67757557383391")</f>
        <v>67757557383391</v>
      </c>
      <c r="G107" s="2">
        <f>IFERROR(__xludf.DUMMYFUNCTION("""COMPUTED_VALUE"""),25.0)</f>
        <v>25</v>
      </c>
      <c r="H107" s="2" t="str">
        <f>IFERROR(__xludf.DUMMYFUNCTION("""COMPUTED_VALUE"""),"AUD")</f>
        <v>AUD</v>
      </c>
      <c r="I107" s="5" t="str">
        <f>IFERROR(__xludf.DUMMYFUNCTION("""COMPUTED_VALUE"""),"https://www.polartech.com.au/cart/67757557383391:1?attributes[click_id]=example_click_id")</f>
        <v>https://www.polartech.com.au/cart/67757557383391:1?attributes[click_id]=example_click_id</v>
      </c>
    </row>
    <row r="108">
      <c r="A108" s="1" t="str">
        <f>IFERROR(__xludf.DUMMYFUNCTION("""COMPUTED_VALUE"""),"Books &amp; Stationery")</f>
        <v>Books &amp; Stationery</v>
      </c>
      <c r="B108" s="1" t="str">
        <f>IFERROR(__xludf.DUMMYFUNCTION("""COMPUTED_VALUE"""),"SG")</f>
        <v>SG</v>
      </c>
      <c r="C108" s="3" t="str">
        <f>IFERROR(__xludf.DUMMYFUNCTION("""COMPUTED_VALUE"""),"popular.com.sg")</f>
        <v>popular.com.sg</v>
      </c>
      <c r="D108" s="1" t="str">
        <f>IFERROR(__xludf.DUMMYFUNCTION("""COMPUTED_VALUE"""),"SG")</f>
        <v>SG</v>
      </c>
      <c r="E108" s="2" t="str">
        <f>IFERROR(__xludf.DUMMYFUNCTION("""COMPUTED_VALUE"""),"True Singapore Ghost Stories Book 12")</f>
        <v>True Singapore Ghost Stories Book 12</v>
      </c>
      <c r="F108" s="2" t="str">
        <f>IFERROR(__xludf.DUMMYFUNCTION("""COMPUTED_VALUE"""),"44237547733199")</f>
        <v>44237547733199</v>
      </c>
      <c r="G108" s="2">
        <f>IFERROR(__xludf.DUMMYFUNCTION("""COMPUTED_VALUE"""),10.79)</f>
        <v>10.79</v>
      </c>
      <c r="H108" s="2" t="str">
        <f>IFERROR(__xludf.DUMMYFUNCTION("""COMPUTED_VALUE"""),"SGD")</f>
        <v>SGD</v>
      </c>
      <c r="I108" s="5" t="str">
        <f>IFERROR(__xludf.DUMMYFUNCTION("""COMPUTED_VALUE"""),"https://popular.com.sg/cart/44237547733199:1?attributes[click_id]=example_click_id")</f>
        <v>https://popular.com.sg/cart/44237547733199:1?attributes[click_id]=example_click_id</v>
      </c>
    </row>
    <row r="109">
      <c r="A109" s="1" t="str">
        <f>IFERROR(__xludf.DUMMYFUNCTION("""COMPUTED_VALUE"""),"Coffee &amp; Tea")</f>
        <v>Coffee &amp; Tea</v>
      </c>
      <c r="B109" s="1" t="str">
        <f>IFERROR(__xludf.DUMMYFUNCTION("""COMPUTED_VALUE"""),"SG")</f>
        <v>SG</v>
      </c>
      <c r="C109" s="3" t="str">
        <f>IFERROR(__xludf.DUMMYFUNCTION("""COMPUTED_VALUE"""),"pppcoffee.com")</f>
        <v>pppcoffee.com</v>
      </c>
      <c r="D109" s="1" t="str">
        <f>IFERROR(__xludf.DUMMYFUNCTION("""COMPUTED_VALUE"""),"AD, AE, AF, AG, AI, AL, AM, AO, AR, AT, AU, AW, AX, BA, BB, BE, BF, BG, BH, BI, BL, BM, BN, BO, BR, BS, BW, BY, BZ, CA, CC, CD, CG, CH, CI, CK, CL, CM, CN, CO, CR, CV, CW, CX, CZ, DE, DK, DM, DO, DZ, EE, EG, EH, ER, ES, ET, FI, FJ, FK, FO, FR, GA, GB, GD,"&amp;" GE, GF, GG, GH, GI, GL, GM, GN, GP, GQ, GR, GS, GT, GW, GY, HK, HR, HT, HU, ID, IE, IL, IM, IO, IS, IT, JE, JM, JO, KE, KG, KH, KI, KM, KN, KR, KZ, LA, LB, LC, LI, LR, LS, LT, LU, MA, MC, MF, MG, MK, ML, MN, MO, MQ, MS, MT, MU, MV, MW, MX, MY, MZ, NA, NE"&amp;", NF, NG, NI, NL, NO, NR, NU, NZ, OM, PG, PH, PK, PL, PM, PN, PS, PT, PY, QA, RE, RO, RS, RU, RW, SA, SB, SC, SD, SE, SG, SH, SI, SJ, SK, SL, SM, SN, SO, SR, SS, ST, SV, SX, SZ, TC, TF, TG, TH, TK, TL, TO, TR, TT, TV, TW, TZ, UA, UG, UM, US, UY, UZ, VA, V"&amp;"C, VE, VG, VN, VU, WF, XK, YT, ZM")</f>
        <v>AD, AE, AF, AG, AI, AL, AM, AO, AR, AT, AU, AW, AX, BA, BB, BE, BF, BG, BH, BI, BL, BM, BN, BO, BR, BS, BW, BY, BZ, CA, CC, CD, CG, CH, CI, CK, CL, CM, CN, CO, CR, CV, CW, CX, CZ, DE, DK, DM, DO, DZ, EE, EG, EH, ER, ES, ET, FI, FJ, FK, FO, FR, GA, GB, GD, GE, GF, GG, GH, GI, GL, GM, GN, GP, GQ, GR, GS, GT, GW, GY, HK, HR, HT, HU, ID, IE, IL, IM, IO, IS, IT, JE, JM, JO, KE, KG, KH, KI, KM, KN, KR, KZ, LA, LB, LC, LI, LR, LS, LT, LU, MA, MC, MF, MG, MK, ML, MN, MO, MQ, MS, MT, MU, MV, MW, MX, MY, MZ, NA, NE, NF, NG, NI, NL, NO, NR, NU, NZ, OM, PG, PH, PK, PL, PM, PN, PS, PT, PY, QA, RE, RO, RS, RU, RW, SA, SB, SC, SD, SE, SG, SH, SI, SJ, SK, SL, SM, SN, SO, SR, SS, ST, SV, SX, SZ, TC, TF, TG, TH, TK, TL, TO, TR, TT, TV, TW, TZ, UA, UG, UM, US, UY, UZ, VA, VC, VE, VG, VN, VU, WF, XK, YT, ZM</v>
      </c>
      <c r="E109" s="2" t="str">
        <f>IFERROR(__xludf.DUMMYFUNCTION("""COMPUTED_VALUE"""),"Hacienda El Obraje - 250g / Whole Beans")</f>
        <v>Hacienda El Obraje - 250g / Whole Beans</v>
      </c>
      <c r="F109" s="2" t="str">
        <f>IFERROR(__xludf.DUMMYFUNCTION("""COMPUTED_VALUE"""),"52396922601692")</f>
        <v>52396922601692</v>
      </c>
      <c r="G109" s="2">
        <f>IFERROR(__xludf.DUMMYFUNCTION("""COMPUTED_VALUE"""),30.0)</f>
        <v>30</v>
      </c>
      <c r="H109" s="2" t="str">
        <f>IFERROR(__xludf.DUMMYFUNCTION("""COMPUTED_VALUE"""),"SGD")</f>
        <v>SGD</v>
      </c>
      <c r="I109" s="5" t="str">
        <f>IFERROR(__xludf.DUMMYFUNCTION("""COMPUTED_VALUE"""),"https://pppcoffee.com/cart/52396922601692:1?attributes[click_id]=example_click_id")</f>
        <v>https://pppcoffee.com/cart/52396922601692:1?attributes[click_id]=example_click_id</v>
      </c>
    </row>
    <row r="110">
      <c r="A110" s="1" t="str">
        <f>IFERROR(__xludf.DUMMYFUNCTION("""COMPUTED_VALUE"""),"Computers &amp; Electronics")</f>
        <v>Computers &amp; Electronics</v>
      </c>
      <c r="B110" s="1" t="str">
        <f>IFERROR(__xludf.DUMMYFUNCTION("""COMPUTED_VALUE"""),"SG")</f>
        <v>SG</v>
      </c>
      <c r="C110" s="3" t="str">
        <f>IFERROR(__xludf.DUMMYFUNCTION("""COMPUTED_VALUE"""),"prismplus.sg")</f>
        <v>prismplus.sg</v>
      </c>
      <c r="D110" s="1" t="str">
        <f>IFERROR(__xludf.DUMMYFUNCTION("""COMPUTED_VALUE"""),"*, SG")</f>
        <v>*, SG</v>
      </c>
      <c r="E110" s="2" t="str">
        <f>IFERROR(__xludf.DUMMYFUNCTION("""COMPUTED_VALUE"""),"PRISM+ W290U monitor")</f>
        <v>PRISM+ W290U monitor</v>
      </c>
      <c r="F110" s="2" t="str">
        <f>IFERROR(__xludf.DUMMYFUNCTION("""COMPUTED_VALUE"""),"49520064692451")</f>
        <v>49520064692451</v>
      </c>
      <c r="G110" s="2">
        <f>IFERROR(__xludf.DUMMYFUNCTION("""COMPUTED_VALUE"""),199.0)</f>
        <v>199</v>
      </c>
      <c r="H110" s="2" t="str">
        <f>IFERROR(__xludf.DUMMYFUNCTION("""COMPUTED_VALUE"""),"SGD")</f>
        <v>SGD</v>
      </c>
      <c r="I110" s="5" t="str">
        <f>IFERROR(__xludf.DUMMYFUNCTION("""COMPUTED_VALUE"""),"https://prismplus.sg/cart/49520064692451:1?attributes[click_id]=example_click_id")</f>
        <v>https://prismplus.sg/cart/49520064692451:1?attributes[click_id]=example_click_id</v>
      </c>
    </row>
    <row r="111">
      <c r="A111" s="1" t="str">
        <f>IFERROR(__xludf.DUMMYFUNCTION("""COMPUTED_VALUE"""),"Coffee &amp; Tea")</f>
        <v>Coffee &amp; Tea</v>
      </c>
      <c r="B111" s="1" t="str">
        <f>IFERROR(__xludf.DUMMYFUNCTION("""COMPUTED_VALUE"""),"SG")</f>
        <v>SG</v>
      </c>
      <c r="C111" s="3" t="str">
        <f>IFERROR(__xludf.DUMMYFUNCTION("""COMPUTED_VALUE"""),"prycetea.com")</f>
        <v>prycetea.com</v>
      </c>
      <c r="D111" s="1" t="str">
        <f>IFERROR(__xludf.DUMMYFUNCTION("""COMPUTED_VALUE"""),"*, AE, AR, AU, AW, BD, BE, BG, BN, BO, BR, BT, BY, CA, CH, CL, CN, CO, CY, DE, DK, EC, EE, ES, FI, FK, FR, GB, GF, GG, GR, GY, HK, HR, HU, ID, IE, IN, IS, IT, JE, JP, KH, KR, LA, LK, LT, LU, LV, MM, MN, MO, MT, MV, MY, NL, NO, NP, NZ, PE, PH, PK, PL, PT, "&amp;"PY, QA, RO, SE, SG, SI, SK, SR, TH, TT, TW, UA, UM, US, UY, VE, VN, ZA")</f>
        <v>*, AE, AR, AU, AW, BD, BE, BG, BN, BO, BR, BT, BY, CA, CH, CL, CN, CO, CY, DE, DK, EC, EE, ES, FI, FK, FR, GB, GF, GG, GR, GY, HK, HR, HU, ID, IE, IN, IS, IT, JE, JP, KH, KR, LA, LK, LT, LU, LV, MM, MN, MO, MT, MV, MY, NL, NO, NP, NZ, PE, PH, PK, PL, PT, PY, QA, RO, SE, SG, SI, SK, SR, TH, TT, TW, UA, UM, US, UY, VE, VN, ZA</v>
      </c>
      <c r="E111" s="2" t="str">
        <f>IFERROR(__xludf.DUMMYFUNCTION("""COMPUTED_VALUE"""),"Mandarin Liu Bao Cha")</f>
        <v>Mandarin Liu Bao Cha</v>
      </c>
      <c r="F111" s="2" t="str">
        <f>IFERROR(__xludf.DUMMYFUNCTION("""COMPUTED_VALUE"""),"43686345048199")</f>
        <v>43686345048199</v>
      </c>
      <c r="G111" s="2">
        <f>IFERROR(__xludf.DUMMYFUNCTION("""COMPUTED_VALUE"""),32.0)</f>
        <v>32</v>
      </c>
      <c r="H111" s="2" t="str">
        <f>IFERROR(__xludf.DUMMYFUNCTION("""COMPUTED_VALUE"""),"SGD")</f>
        <v>SGD</v>
      </c>
      <c r="I111" s="5" t="str">
        <f>IFERROR(__xludf.DUMMYFUNCTION("""COMPUTED_VALUE"""),"https://prycetea.com/cart/43686345048199:1?attributes[click_id]=example_click_id")</f>
        <v>https://prycetea.com/cart/43686345048199:1?attributes[click_id]=example_click_id</v>
      </c>
    </row>
    <row r="112">
      <c r="A112" s="1" t="str">
        <f>IFERROR(__xludf.DUMMYFUNCTION("""COMPUTED_VALUE"""),"Household Essentials")</f>
        <v>Household Essentials</v>
      </c>
      <c r="B112" s="1" t="str">
        <f>IFERROR(__xludf.DUMMYFUNCTION("""COMPUTED_VALUE"""),"US")</f>
        <v>US</v>
      </c>
      <c r="C112" s="3" t="str">
        <f>IFERROR(__xludf.DUMMYFUNCTION("""COMPUTED_VALUE"""),"publicgoods.com")</f>
        <v>publicgoods.com</v>
      </c>
      <c r="D112" s="1" t="str">
        <f>IFERROR(__xludf.DUMMYFUNCTION("""COMPUTED_VALUE"""),"*, AE, AT, AU, BE, BG, BR, CA, CH, CL, CY, CZ, DE, DK, EE, ES, FI, FR, GB, GR, HK, HR, HU, IE, IL, IT, JP, KR, KZ, LT, LU, LV, MK, MT, MX, MY, NL, NO, NP, NZ, PL, PT, RO, SE, SG, SI, SK, TH, US")</f>
        <v>*, AE, AT, AU, BE, BG, BR, CA, CH, CL, CY, CZ, DE, DK, EE, ES, FI, FR, GB, GR, HK, HR, HU, IE, IL, IT, JP, KR, KZ, LT, LU, LV, MK, MT, MX, MY, NL, NO, NP, NZ, PL, PT, RO, SE, SG, SI, SK, TH, US</v>
      </c>
      <c r="E112" s="2" t="str">
        <f>IFERROR(__xludf.DUMMYFUNCTION("""COMPUTED_VALUE"""),"Silicone Travel Bottles Refill Kit - 5ct")</f>
        <v>Silicone Travel Bottles Refill Kit - 5ct</v>
      </c>
      <c r="F112" s="2" t="str">
        <f>IFERROR(__xludf.DUMMYFUNCTION("""COMPUTED_VALUE"""),"50034195169418")</f>
        <v>50034195169418</v>
      </c>
      <c r="G112" s="2">
        <f>IFERROR(__xludf.DUMMYFUNCTION("""COMPUTED_VALUE"""),19.95)</f>
        <v>19.95</v>
      </c>
      <c r="H112" s="2" t="str">
        <f>IFERROR(__xludf.DUMMYFUNCTION("""COMPUTED_VALUE"""),"USD")</f>
        <v>USD</v>
      </c>
      <c r="I112" s="5" t="str">
        <f>IFERROR(__xludf.DUMMYFUNCTION("""COMPUTED_VALUE"""),"https://www.publicgoods.com/cart/50034195169418:1?attributes[click_id]=example_click_id")</f>
        <v>https://www.publicgoods.com/cart/50034195169418:1?attributes[click_id]=example_click_id</v>
      </c>
    </row>
    <row r="113">
      <c r="A113" s="1" t="str">
        <f>IFERROR(__xludf.DUMMYFUNCTION("""COMPUTED_VALUE"""),"Health &amp; Wellness")</f>
        <v>Health &amp; Wellness</v>
      </c>
      <c r="B113" s="1" t="str">
        <f>IFERROR(__xludf.DUMMYFUNCTION("""COMPUTED_VALUE"""),"SG")</f>
        <v>SG</v>
      </c>
      <c r="C113" s="3" t="str">
        <f>IFERROR(__xludf.DUMMYFUNCTION("""COMPUTED_VALUE"""),"pupsik.sg")</f>
        <v>pupsik.sg</v>
      </c>
      <c r="D113" s="1" t="str">
        <f>IFERROR(__xludf.DUMMYFUNCTION("""COMPUTED_VALUE"""),"SG")</f>
        <v>SG</v>
      </c>
      <c r="E113" s="2" t="str">
        <f>IFERROR(__xludf.DUMMYFUNCTION("""COMPUTED_VALUE"""),"Youha Warming Lactation Massager")</f>
        <v>Youha Warming Lactation Massager</v>
      </c>
      <c r="F113" s="2" t="str">
        <f>IFERROR(__xludf.DUMMYFUNCTION("""COMPUTED_VALUE"""),"47639520608510")</f>
        <v>47639520608510</v>
      </c>
      <c r="G113" s="2">
        <f>IFERROR(__xludf.DUMMYFUNCTION("""COMPUTED_VALUE"""),34.9)</f>
        <v>34.9</v>
      </c>
      <c r="H113" s="2" t="str">
        <f>IFERROR(__xludf.DUMMYFUNCTION("""COMPUTED_VALUE"""),"SGD")</f>
        <v>SGD</v>
      </c>
      <c r="I113" s="5" t="str">
        <f>IFERROR(__xludf.DUMMYFUNCTION("""COMPUTED_VALUE"""),"https://pupsik.sg/cart/47639520608510:1?attributes[click_id]=example_click_id")</f>
        <v>https://pupsik.sg/cart/47639520608510:1?attributes[click_id]=example_click_id</v>
      </c>
    </row>
    <row r="114">
      <c r="A114" s="1" t="str">
        <f>IFERROR(__xludf.DUMMYFUNCTION("""COMPUTED_VALUE"""),"Drinks &amp; Alcohol")</f>
        <v>Drinks &amp; Alcohol</v>
      </c>
      <c r="B114" s="1" t="str">
        <f>IFERROR(__xludf.DUMMYFUNCTION("""COMPUTED_VALUE"""),"US")</f>
        <v>US</v>
      </c>
      <c r="C114" s="3" t="str">
        <f>IFERROR(__xludf.DUMMYFUNCTION("""COMPUTED_VALUE"""),"rabbitwine.com")</f>
        <v>rabbitwine.com</v>
      </c>
      <c r="D114" s="1" t="str">
        <f>IFERROR(__xludf.DUMMYFUNCTION("""COMPUTED_VALUE"""),"US")</f>
        <v>US</v>
      </c>
      <c r="E114" s="2" t="str">
        <f>IFERROR(__xludf.DUMMYFUNCTION("""COMPUTED_VALUE"""),"Leak-Proof Beverage Tumblers - taupe")</f>
        <v>Leak-Proof Beverage Tumblers - taupe</v>
      </c>
      <c r="F114" s="2" t="str">
        <f>IFERROR(__xludf.DUMMYFUNCTION("""COMPUTED_VALUE"""),"42170340704341")</f>
        <v>42170340704341</v>
      </c>
      <c r="G114" s="2">
        <f>IFERROR(__xludf.DUMMYFUNCTION("""COMPUTED_VALUE"""),30.99)</f>
        <v>30.99</v>
      </c>
      <c r="H114" s="2" t="str">
        <f>IFERROR(__xludf.DUMMYFUNCTION("""COMPUTED_VALUE"""),"USD")</f>
        <v>USD</v>
      </c>
      <c r="I114" s="5" t="str">
        <f>IFERROR(__xludf.DUMMYFUNCTION("""COMPUTED_VALUE"""),"https://www.rabbitwine.com/cart/42170340704341:1?attributes[click_id]=example_click_id")</f>
        <v>https://www.rabbitwine.com/cart/42170340704341:1?attributes[click_id]=example_click_id</v>
      </c>
    </row>
    <row r="115">
      <c r="A115" s="1" t="str">
        <f>IFERROR(__xludf.DUMMYFUNCTION("""COMPUTED_VALUE"""),"Health &amp; Wellness")</f>
        <v>Health &amp; Wellness</v>
      </c>
      <c r="B115" s="1" t="str">
        <f>IFERROR(__xludf.DUMMYFUNCTION("""COMPUTED_VALUE"""),"US")</f>
        <v>US</v>
      </c>
      <c r="C115" s="3" t="str">
        <f>IFERROR(__xludf.DUMMYFUNCTION("""COMPUTED_VALUE"""),"ritual.com")</f>
        <v>ritual.com</v>
      </c>
      <c r="D115" s="1" t="str">
        <f>IFERROR(__xludf.DUMMYFUNCTION("""COMPUTED_VALUE"""),"CA, GB, US")</f>
        <v>CA, GB, US</v>
      </c>
      <c r="E115" s="2" t="str">
        <f>IFERROR(__xludf.DUMMYFUNCTION("""COMPUTED_VALUE"""),"Men's Multivitamin 18+ - 30 servings")</f>
        <v>Men's Multivitamin 18+ - 30 servings</v>
      </c>
      <c r="F115" s="2" t="str">
        <f>IFERROR(__xludf.DUMMYFUNCTION("""COMPUTED_VALUE"""),"43253299970142")</f>
        <v>43253299970142</v>
      </c>
      <c r="G115" s="2">
        <f>IFERROR(__xludf.DUMMYFUNCTION("""COMPUTED_VALUE"""),37.5)</f>
        <v>37.5</v>
      </c>
      <c r="H115" s="2" t="str">
        <f>IFERROR(__xludf.DUMMYFUNCTION("""COMPUTED_VALUE"""),"USD")</f>
        <v>USD</v>
      </c>
      <c r="I115" s="5" t="str">
        <f>IFERROR(__xludf.DUMMYFUNCTION("""COMPUTED_VALUE"""),"https://ritual.com/cart/43253299970142:1?attributes[click_id]=example_click_id")</f>
        <v>https://ritual.com/cart/43253299970142:1?attributes[click_id]=example_click_id</v>
      </c>
    </row>
    <row r="116">
      <c r="A116" s="1" t="str">
        <f>IFERROR(__xludf.DUMMYFUNCTION("""COMPUTED_VALUE"""),"Bakery &amp; Desserts")</f>
        <v>Bakery &amp; Desserts</v>
      </c>
      <c r="B116" s="1" t="str">
        <f>IFERROR(__xludf.DUMMYFUNCTION("""COMPUTED_VALUE"""),"US")</f>
        <v>US</v>
      </c>
      <c r="C116" s="3" t="str">
        <f>IFERROR(__xludf.DUMMYFUNCTION("""COMPUTED_VALUE"""),"riverdogbakery.com")</f>
        <v>riverdogbakery.com</v>
      </c>
      <c r="D116" s="1" t="str">
        <f>IFERROR(__xludf.DUMMYFUNCTION("""COMPUTED_VALUE"""),"CA, US")</f>
        <v>CA, US</v>
      </c>
      <c r="E116" s="2" t="str">
        <f>IFERROR(__xludf.DUMMYFUNCTION("""COMPUTED_VALUE"""),"Limited Edition Pumpkin Egg Puffs")</f>
        <v>Limited Edition Pumpkin Egg Puffs</v>
      </c>
      <c r="F116" s="2" t="str">
        <f>IFERROR(__xludf.DUMMYFUNCTION("""COMPUTED_VALUE"""),"47294120034559")</f>
        <v>47294120034559</v>
      </c>
      <c r="G116" s="2">
        <f>IFERROR(__xludf.DUMMYFUNCTION("""COMPUTED_VALUE"""),12.0)</f>
        <v>12</v>
      </c>
      <c r="H116" s="2" t="str">
        <f>IFERROR(__xludf.DUMMYFUNCTION("""COMPUTED_VALUE"""),"USD")</f>
        <v>USD</v>
      </c>
      <c r="I116" s="5" t="str">
        <f>IFERROR(__xludf.DUMMYFUNCTION("""COMPUTED_VALUE"""),"https://riverdogbakery.com/cart/47294120034559:1?attributes[click_id]=example_click_id")</f>
        <v>https://riverdogbakery.com/cart/47294120034559:1?attributes[click_id]=example_click_id</v>
      </c>
    </row>
    <row r="117">
      <c r="A117" s="1" t="str">
        <f>IFERROR(__xludf.DUMMYFUNCTION("""COMPUTED_VALUE"""),"Drinks &amp; Alcohol")</f>
        <v>Drinks &amp; Alcohol</v>
      </c>
      <c r="B117" s="1" t="str">
        <f>IFERROR(__xludf.DUMMYFUNCTION("""COMPUTED_VALUE"""),"AU")</f>
        <v>AU</v>
      </c>
      <c r="C117" s="3" t="str">
        <f>IFERROR(__xludf.DUMMYFUNCTION("""COMPUTED_VALUE"""),"sansdrinks.com.au")</f>
        <v>sansdrinks.com.au</v>
      </c>
      <c r="D117" s="1" t="str">
        <f>IFERROR(__xludf.DUMMYFUNCTION("""COMPUTED_VALUE"""),"AU, CA, GB, NF, NZ, US")</f>
        <v>AU, CA, GB, NF, NZ, US</v>
      </c>
      <c r="E117" s="2" t="str">
        <f>IFERROR(__xludf.DUMMYFUNCTION("""COMPUTED_VALUE"""),"Lyre's Classico - 750ml")</f>
        <v>Lyre's Classico - 750ml</v>
      </c>
      <c r="F117" s="2" t="str">
        <f>IFERROR(__xludf.DUMMYFUNCTION("""COMPUTED_VALUE"""),"54921904423136")</f>
        <v>54921904423136</v>
      </c>
      <c r="G117" s="2">
        <f>IFERROR(__xludf.DUMMYFUNCTION("""COMPUTED_VALUE"""),21.95)</f>
        <v>21.95</v>
      </c>
      <c r="H117" s="2" t="str">
        <f>IFERROR(__xludf.DUMMYFUNCTION("""COMPUTED_VALUE"""),"AUD")</f>
        <v>AUD</v>
      </c>
      <c r="I117" s="5" t="str">
        <f>IFERROR(__xludf.DUMMYFUNCTION("""COMPUTED_VALUE"""),"https://sansdrinks.com.au/cart/54921904423136:1?attributes[click_id]=example_click_id")</f>
        <v>https://sansdrinks.com.au/cart/54921904423136:1?attributes[click_id]=example_click_id</v>
      </c>
    </row>
    <row r="118">
      <c r="A118" s="1" t="str">
        <f>IFERROR(__xludf.DUMMYFUNCTION("""COMPUTED_VALUE"""),"Computers &amp; Electronics")</f>
        <v>Computers &amp; Electronics</v>
      </c>
      <c r="B118" s="1" t="str">
        <f>IFERROR(__xludf.DUMMYFUNCTION("""COMPUTED_VALUE"""),"US")</f>
        <v>US</v>
      </c>
      <c r="C118" s="3" t="str">
        <f>IFERROR(__xludf.DUMMYFUNCTION("""COMPUTED_VALUE"""),"satechi.net")</f>
        <v>satechi.net</v>
      </c>
      <c r="D118" s="1" t="str">
        <f>IFERROR(__xludf.DUMMYFUNCTION("""COMPUTED_VALUE"""),"AD, AE, AG, AI, AL, AM, AO, AR, AT, AU, AW, AX, AZ, BA, BB, BD, BE, BF, BG, BH, BI, BJ, BL, BM, BO, BS, BW, BZ, CA, CC, CD, CF, CG, CH, CI, CK, CL, CM, CN, CO, CR, CV, CW, CX, CY, CZ, DE, DJ, DK, DM, DO, DZ, EC, EE, EG, EH, ER, ES, ET, FI, FJ, FK, FO, FR,"&amp;" GA, GB, GD, GE, GF, GG, GH, GI, GL, GM, GN, GP, GQ, GR, GS, GT, GW, GY, HK, HN, HR, HT, HU, ID, IE, IL, IM, IO, IQ, IS, IT, JE, JM, JO, JP, KE, KG, KH, KI, KM, KN, KR, KW, KY, KZ, LA, LB, LC, LI, LK, LR, LS, LT, LU, LV, LY, MA, MC, MD, ME, MF, MG, MK, ML"&amp;", MN, MO, MQ, MR, MS, MT, MU, MV, MW, MX, MY, MZ, NA, NC, NF, NG, NI, NL, NO, NP, NR, NU, NZ, OM, PA, PE, PF, PG, PH, PK, PL, PM, PN, PS, PT, PY, QA, RE, RO, RS, RW, SA, SB, SC, SE, SG, SH, SI, SJ, SK, SL, SM, SN, SO, SR, SS, ST, SV, SX, SZ, TC, TD, TF, T"&amp;"G, TH, TJ, TK, TL, TM, TN, TO, TT, TV, TW, TZ, UG, UM, US, UY, UZ, VA, VC, VE, VG, VN, VU, WF, WS, XK, YT, ZA, ZM, ZW")</f>
        <v>AD, AE, AG, AI, AL, AM, AO, AR, AT, AU, AW, AX, AZ, BA, BB, BD, BE, BF, BG, BH, BI, BJ, BL, BM, BO, BS, BW, BZ, CA, CC, CD, CF, CG, CH, CI, CK, CL, CM, CN, CO, CR, CV, CW, CX, CY, CZ, DE, DJ, DK, DM, DO, DZ, EC, EE, EG, EH, ER, ES, ET, FI, FJ, FK, FO, FR, GA, GB, GD, GE, GF, GG, GH, GI, GL, GM, GN, GP, GQ, GR, GS, GT, GW, GY, HK, HN, HR, HT, HU, ID, IE, IL, IM, IO, IQ, IS, IT, JE, JM, JO, JP, KE, KG, KH, KI, KM, KN, KR, KW, KY, KZ, LA, LB, LC, LI, LK, LR, LS, LT, LU, LV, LY, MA, MC, MD, ME, MF, MG, MK, ML, MN, MO, MQ, MR, MS, MT, MU, MV, MW, MX, MY, MZ, NA, NC, NF, NG, NI, NL, NO, NP, NR, NU, NZ, OM, PA, PE, PF, PG, PH, PK, PL, PM, PN, PS, PT, PY, QA, RE, RO, RS, RW, SA, SB, SC, SE, SG, SH, SI, SJ, SK, SL, SM, SN, SO, SR, SS, ST, SV, SX, SZ, TC, TD, TF, TG, TH, TJ, TK, TL, TM, TN, TO, TT, TV, TW, TZ, UG, UM, US, UY, UZ, VA, VC, VE, VG, VN, VU, WF, WS, XK, YT, ZA, ZM, ZW</v>
      </c>
      <c r="E118" s="2" t="str">
        <f>IFERROR(__xludf.DUMMYFUNCTION("""COMPUTED_VALUE"""),"USB-C Snap Hub - Citrus")</f>
        <v>USB-C Snap Hub - Citrus</v>
      </c>
      <c r="F118" s="2" t="str">
        <f>IFERROR(__xludf.DUMMYFUNCTION("""COMPUTED_VALUE"""),"44267709005912")</f>
        <v>44267709005912</v>
      </c>
      <c r="G118" s="2">
        <f>IFERROR(__xludf.DUMMYFUNCTION("""COMPUTED_VALUE"""),44.99)</f>
        <v>44.99</v>
      </c>
      <c r="H118" s="2" t="str">
        <f>IFERROR(__xludf.DUMMYFUNCTION("""COMPUTED_VALUE"""),"USD")</f>
        <v>USD</v>
      </c>
      <c r="I118" s="5" t="str">
        <f>IFERROR(__xludf.DUMMYFUNCTION("""COMPUTED_VALUE"""),"https://satechi.net/cart/44267709005912:1?attributes[click_id]=example_click_id")</f>
        <v>https://satechi.net/cart/44267709005912:1?attributes[click_id]=example_click_id</v>
      </c>
    </row>
    <row r="119">
      <c r="A119" s="1" t="str">
        <f>IFERROR(__xludf.DUMMYFUNCTION("""COMPUTED_VALUE"""),"Home &amp; Living")</f>
        <v>Home &amp; Living</v>
      </c>
      <c r="B119" s="1" t="str">
        <f>IFERROR(__xludf.DUMMYFUNCTION("""COMPUTED_VALUE"""),"SG")</f>
        <v>SG</v>
      </c>
      <c r="C119" s="3" t="str">
        <f>IFERROR(__xludf.DUMMYFUNCTION("""COMPUTED_VALUE"""),"scanteak.com.sg")</f>
        <v>scanteak.com.sg</v>
      </c>
      <c r="D119" s="1" t="str">
        <f>IFERROR(__xludf.DUMMYFUNCTION("""COMPUTED_VALUE"""),"SG, US")</f>
        <v>SG, US</v>
      </c>
      <c r="E119" s="2" t="str">
        <f>IFERROR(__xludf.DUMMYFUNCTION("""COMPUTED_VALUE"""),"Brunja Dining Chair")</f>
        <v>Brunja Dining Chair</v>
      </c>
      <c r="F119" s="2" t="str">
        <f>IFERROR(__xludf.DUMMYFUNCTION("""COMPUTED_VALUE"""),"48176029892862")</f>
        <v>48176029892862</v>
      </c>
      <c r="G119" s="2">
        <f>IFERROR(__xludf.DUMMYFUNCTION("""COMPUTED_VALUE"""),329.0)</f>
        <v>329</v>
      </c>
      <c r="H119" s="2" t="str">
        <f>IFERROR(__xludf.DUMMYFUNCTION("""COMPUTED_VALUE"""),"SGD")</f>
        <v>SGD</v>
      </c>
      <c r="I119" s="5" t="str">
        <f>IFERROR(__xludf.DUMMYFUNCTION("""COMPUTED_VALUE"""),"https://scanteak.com.sg/cart/48176029892862:1?attributes[click_id]=example_click_id")</f>
        <v>https://scanteak.com.sg/cart/48176029892862:1?attributes[click_id]=example_click_id</v>
      </c>
    </row>
    <row r="120">
      <c r="A120" s="1" t="str">
        <f>IFERROR(__xludf.DUMMYFUNCTION("""COMPUTED_VALUE"""),"Computers &amp; Electronics")</f>
        <v>Computers &amp; Electronics</v>
      </c>
      <c r="B120" s="1" t="str">
        <f>IFERROR(__xludf.DUMMYFUNCTION("""COMPUTED_VALUE"""),"US")</f>
        <v>US</v>
      </c>
      <c r="C120" s="3" t="str">
        <f>IFERROR(__xludf.DUMMYFUNCTION("""COMPUTED_VALUE"""),"schupantech.com")</f>
        <v>schupantech.com</v>
      </c>
      <c r="D120" s="1" t="str">
        <f>IFERROR(__xludf.DUMMYFUNCTION("""COMPUTED_VALUE"""),"US")</f>
        <v>US</v>
      </c>
      <c r="E120" s="2" t="str">
        <f>IFERROR(__xludf.DUMMYFUNCTION("""COMPUTED_VALUE"""),"DELL OPTIPLEX 7010 USFF | Intel Core i5 13500T 16GB RAM NO HDD NO OS | USED GOOD")</f>
        <v>DELL OPTIPLEX 7010 USFF | Intel Core i5 13500T 16GB RAM NO HDD NO OS | USED GOOD</v>
      </c>
      <c r="F120" s="2" t="str">
        <f>IFERROR(__xludf.DUMMYFUNCTION("""COMPUTED_VALUE"""),"49046737092825")</f>
        <v>49046737092825</v>
      </c>
      <c r="G120" s="2">
        <f>IFERROR(__xludf.DUMMYFUNCTION("""COMPUTED_VALUE"""),299.99)</f>
        <v>299.99</v>
      </c>
      <c r="H120" s="2" t="str">
        <f>IFERROR(__xludf.DUMMYFUNCTION("""COMPUTED_VALUE"""),"USD")</f>
        <v>USD</v>
      </c>
      <c r="I120" s="5" t="str">
        <f>IFERROR(__xludf.DUMMYFUNCTION("""COMPUTED_VALUE"""),"https://schupantech.com/cart/49046737092825:1?attributes[click_id]=example_click_id")</f>
        <v>https://schupantech.com/cart/49046737092825:1?attributes[click_id]=example_click_id</v>
      </c>
    </row>
    <row r="121">
      <c r="A121" s="1" t="str">
        <f>IFERROR(__xludf.DUMMYFUNCTION("""COMPUTED_VALUE"""),"Beauty &amp; Personal Care")</f>
        <v>Beauty &amp; Personal Care</v>
      </c>
      <c r="B121" s="1" t="str">
        <f>IFERROR(__xludf.DUMMYFUNCTION("""COMPUTED_VALUE"""),"SG")</f>
        <v>SG</v>
      </c>
      <c r="C121" s="3" t="str">
        <f>IFERROR(__xludf.DUMMYFUNCTION("""COMPUTED_VALUE"""),"sg.allies.shop")</f>
        <v>sg.allies.shop</v>
      </c>
      <c r="D121" s="1" t="str">
        <f>IFERROR(__xludf.DUMMYFUNCTION("""COMPUTED_VALUE"""),"BN, HK, JP, KR, MO, SG, TW")</f>
        <v>BN, HK, JP, KR, MO, SG, TW</v>
      </c>
      <c r="E121" s="2" t="str">
        <f>IFERROR(__xludf.DUMMYFUNCTION("""COMPUTED_VALUE"""),"Peptint Tripeptide &amp; Goji Cells Plumping Lip Treatment")</f>
        <v>Peptint Tripeptide &amp; Goji Cells Plumping Lip Treatment</v>
      </c>
      <c r="F121" s="2" t="str">
        <f>IFERROR(__xludf.DUMMYFUNCTION("""COMPUTED_VALUE"""),"47999742050498")</f>
        <v>47999742050498</v>
      </c>
      <c r="G121" s="2">
        <f>IFERROR(__xludf.DUMMYFUNCTION("""COMPUTED_VALUE"""),48.0)</f>
        <v>48</v>
      </c>
      <c r="H121" s="2" t="str">
        <f>IFERROR(__xludf.DUMMYFUNCTION("""COMPUTED_VALUE"""),"SGD")</f>
        <v>SGD</v>
      </c>
      <c r="I121" s="5" t="str">
        <f>IFERROR(__xludf.DUMMYFUNCTION("""COMPUTED_VALUE"""),"https://sg.allies.shop/cart/47999742050498:1?attributes[click_id]=example_click_id")</f>
        <v>https://sg.allies.shop/cart/47999742050498:1?attributes[click_id]=example_click_id</v>
      </c>
    </row>
    <row r="122">
      <c r="A122" s="1" t="str">
        <f>IFERROR(__xludf.DUMMYFUNCTION("""COMPUTED_VALUE"""),"Home Appliances &amp; DIY")</f>
        <v>Home Appliances &amp; DIY</v>
      </c>
      <c r="B122" s="1" t="str">
        <f>IFERROR(__xludf.DUMMYFUNCTION("""COMPUTED_VALUE"""),"AU")</f>
        <v>AU</v>
      </c>
      <c r="C122" s="3" t="str">
        <f>IFERROR(__xludf.DUMMYFUNCTION("""COMPUTED_VALUE"""),"sharkninja.com.au")</f>
        <v>sharkninja.com.au</v>
      </c>
      <c r="D122" s="1" t="str">
        <f>IFERROR(__xludf.DUMMYFUNCTION("""COMPUTED_VALUE"""),"AU")</f>
        <v>AU</v>
      </c>
      <c r="E122" s="2" t="str">
        <f>IFERROR(__xludf.DUMMYFUNCTION("""COMPUTED_VALUE"""),"ChillPill - Clip")</f>
        <v>ChillPill - Clip</v>
      </c>
      <c r="F122" s="2" t="str">
        <f>IFERROR(__xludf.DUMMYFUNCTION("""COMPUTED_VALUE"""),"43622922846243")</f>
        <v>43622922846243</v>
      </c>
      <c r="G122" s="2">
        <f>IFERROR(__xludf.DUMMYFUNCTION("""COMPUTED_VALUE"""),29.99)</f>
        <v>29.99</v>
      </c>
      <c r="H122" s="2" t="str">
        <f>IFERROR(__xludf.DUMMYFUNCTION("""COMPUTED_VALUE"""),"AUD")</f>
        <v>AUD</v>
      </c>
      <c r="I122" s="5" t="str">
        <f>IFERROR(__xludf.DUMMYFUNCTION("""COMPUTED_VALUE"""),"https://sharkninja.com.au/cart/43622922846243:1?attributes[click_id]=example_click_id")</f>
        <v>https://sharkninja.com.au/cart/43622922846243:1?attributes[click_id]=example_click_id</v>
      </c>
    </row>
    <row r="123">
      <c r="A123" s="1" t="str">
        <f>IFERROR(__xludf.DUMMYFUNCTION("""COMPUTED_VALUE"""),"Audio &amp; Music")</f>
        <v>Audio &amp; Music</v>
      </c>
      <c r="B123" s="1" t="str">
        <f>IFERROR(__xludf.DUMMYFUNCTION("""COMPUTED_VALUE"""),"CN")</f>
        <v>CN</v>
      </c>
      <c r="C123" s="3" t="str">
        <f>IFERROR(__xludf.DUMMYFUNCTION("""COMPUTED_VALUE"""),"shenzhenaudio.com")</f>
        <v>shenzhenaudio.com</v>
      </c>
      <c r="D123" s="1" t="str">
        <f>IFERROR(__xludf.DUMMYFUNCTION("""COMPUTED_VALUE"""),"AC, AD, AE, AF, AG, AI, AL, AM, AO, AR, AT, AU, AW, AX, AZ, BA, BB, BD, BE, BF, BG, BH, BI, BJ, BL, BM, BN, BO, BQ, BR, BS, BT, BW, BY, BZ, CA, CC, CD, CF, CG, CH, CI, CK, CL, CM, CN, CO, CR, CV, CW, CX, CY, CZ, DE, DJ, DK, DM, DO, DZ, EC, EE, EG, EH, ER,"&amp;" ES, ET, FI, FJ, FK, FO, FR, GA, GB, GD, GE, GF, GG, GH, GI, GL, GM, GN, GP, GQ, GR, GS, GT, GW, GY, HK, HN, HR, HT, HU, ID, IE, IL, IN, IO, IQ, IS, IT, JE, JM, JO, JP, KE, KG, KH, KI, KM, KN, KR, KW, KY, KZ, LA, LB, LC, LI, LK, LR, LS, LT, LU, LV, LY, MA"&amp;", MC, MD, ME, MF, MG, MK, ML, MM, MN, MO, MQ, MR, MS, MT, MU, MV, MW, MX, MY, MZ, NA, NC, NE, NF, NG, NI, NL, NO, NP, NR, NU, NZ, OM, PA, PE, PF, PG, PH, PK, PL, PM, PN, PS, PT, PY, QA, RE, RO, RS, RU, RW, SA, SB, SC, SD, SE, SG, SH, SI, SJ, SK, SL, SM, S"&amp;"N, SO, SR, SS, ST, SV, SX, SZ, TA, TC, TD, TF, TG, TH, TJ, TK, TL, TM, TN, TO, TT, TV, TW, TZ, UA, UG, UM, US, UY, UZ, VA, VC, VE, VG, VN, VU, WF, WS, XK, YE, YT, ZA, ZM, ZW")</f>
        <v>AC, AD, AE, AF, AG, AI, AL, AM, AO, AR, AT, AU, AW, AX, AZ, BA, BB, BD, BE, BF, BG, BH, BI, BJ, BL, BM, BN, BO, BQ, BR, BS, BT, BW, BY, BZ, CA, CC, CD, CF, CG, CH, CI, CK, CL, CM, CN, CO, CR, CV, CW, CX, CY, CZ, DE, DJ, DK, DM, DO, DZ, EC, EE, EG, EH, ER, ES, ET, FI, FJ, FK, FO, FR, GA, GB, GD, GE, GF, GG, GH, GI, GL, GM, GN, GP, GQ, GR, GS, GT, GW, GY, HK, HN, HR, HT, HU, ID, IE, IL, IN, IO, IQ, IS, IT, JE, JM, JO, JP, KE, KG, KH, KI, KM, KN, KR, KW, KY, KZ, LA, LB, LC, LI, LK, LR, LS, LT, LU, LV, LY, MA, MC, MD, ME, MF, MG, MK, ML, MM, MN, MO, MQ, MR, MS, MT, MU, MV, MW, MX, MY, MZ, NA, NC, NE, NF, NG, NI, NL, NO, NP, NR, NU, NZ, OM, PA, PE, PF, PG, PH, PK, PL, PM, PN, PS, PT, PY, QA, RE, RO, RS, RU, RW, SA, SB, SC, SD, SE, SG, SH, SI, SJ, SK, SL, SM, SN, SO, SR, SS, ST, SV, SX, SZ, TA, TC, TD, TF, TG, TH, TJ, TK, TL, TM, TN, TO, TT, TV, TW, TZ, UA, UG, UM, US, UY, UZ, VA, VC, VE, VG, VN, VU, WF, WS, XK, YE, YT, ZA, ZM, ZW</v>
      </c>
      <c r="E123" s="2" t="str">
        <f>IFERROR(__xludf.DUMMYFUNCTION("""COMPUTED_VALUE"""),"SMSL SU3 AK4496 DAC")</f>
        <v>SMSL SU3 AK4496 DAC</v>
      </c>
      <c r="F123" s="2" t="str">
        <f>IFERROR(__xludf.DUMMYFUNCTION("""COMPUTED_VALUE"""),"51584986382579")</f>
        <v>51584986382579</v>
      </c>
      <c r="G123" s="2">
        <f>IFERROR(__xludf.DUMMYFUNCTION("""COMPUTED_VALUE"""),189.99)</f>
        <v>189.99</v>
      </c>
      <c r="H123" s="2" t="str">
        <f>IFERROR(__xludf.DUMMYFUNCTION("""COMPUTED_VALUE"""),"USD")</f>
        <v>USD</v>
      </c>
      <c r="I123" s="5" t="str">
        <f>IFERROR(__xludf.DUMMYFUNCTION("""COMPUTED_VALUE"""),"https://shenzhenaudio.com/cart/51584986382579:1?attributes[click_id]=example_click_id")</f>
        <v>https://shenzhenaudio.com/cart/51584986382579:1?attributes[click_id]=example_click_id</v>
      </c>
    </row>
    <row r="124">
      <c r="A124" s="1" t="str">
        <f>IFERROR(__xludf.DUMMYFUNCTION("""COMPUTED_VALUE"""),"Jewellery &amp; Watches")</f>
        <v>Jewellery &amp; Watches</v>
      </c>
      <c r="B124" s="1" t="str">
        <f>IFERROR(__xludf.DUMMYFUNCTION("""COMPUTED_VALUE"""),"AU")</f>
        <v>AU</v>
      </c>
      <c r="C124" s="3" t="str">
        <f>IFERROR(__xludf.DUMMYFUNCTION("""COMPUTED_VALUE"""),"shiels.com.au")</f>
        <v>shiels.com.au</v>
      </c>
      <c r="D124" s="1" t="str">
        <f>IFERROR(__xludf.DUMMYFUNCTION("""COMPUTED_VALUE"""),"*, AU")</f>
        <v>*, AU</v>
      </c>
      <c r="E124" s="2" t="str">
        <f>IFERROR(__xludf.DUMMYFUNCTION("""COMPUTED_VALUE"""),"Citizen AN3680-50A Chronograph")</f>
        <v>Citizen AN3680-50A Chronograph</v>
      </c>
      <c r="F124" s="2" t="str">
        <f>IFERROR(__xludf.DUMMYFUNCTION("""COMPUTED_VALUE"""),"44187788738789")</f>
        <v>44187788738789</v>
      </c>
      <c r="G124" s="2">
        <f>IFERROR(__xludf.DUMMYFUNCTION("""COMPUTED_VALUE"""),199.0)</f>
        <v>199</v>
      </c>
      <c r="H124" s="2" t="str">
        <f>IFERROR(__xludf.DUMMYFUNCTION("""COMPUTED_VALUE"""),"AUD")</f>
        <v>AUD</v>
      </c>
      <c r="I124" s="5" t="str">
        <f>IFERROR(__xludf.DUMMYFUNCTION("""COMPUTED_VALUE"""),"https://www.shiels.com.au/cart/44187788738789:1?attributes[click_id]=example_click_id")</f>
        <v>https://www.shiels.com.au/cart/44187788738789:1?attributes[click_id]=example_click_id</v>
      </c>
    </row>
    <row r="125">
      <c r="A125" s="2" t="str">
        <f>IFERROR(__xludf.DUMMYFUNCTION("""COMPUTED_VALUE"""),"Maker &amp; DIY Electronics")</f>
        <v>Maker &amp; DIY Electronics</v>
      </c>
      <c r="B125" s="2" t="str">
        <f>IFERROR(__xludf.DUMMYFUNCTION("""COMPUTED_VALUE"""),"US")</f>
        <v>US</v>
      </c>
      <c r="C125" s="5" t="str">
        <f>IFERROR(__xludf.DUMMYFUNCTION("""COMPUTED_VALUE"""),"shop.hak5.org")</f>
        <v>shop.hak5.org</v>
      </c>
      <c r="D125" s="2" t="str">
        <f>IFERROR(__xludf.DUMMYFUNCTION("""COMPUTED_VALUE"""),"*, AD, AL, AR, AT, AU, BA, BE, BG, BO, BR, CA, CH, CL, CR, CY, CZ, DE, DK, EC, EE, ES, FI, FR, GB, GI, GR, HR, HU, IE, IM, IS, IT, JE, JP, LI, LT, LU, LV, MC, MD, ME, MK, MT, MX, MY, NL, NO, NZ, PL, PT, RO, RS, SE, SG, SI, SK, SM, TR, UA, US, VA, VG")</f>
        <v>*, AD, AL, AR, AT, AU, BA, BE, BG, BO, BR, CA, CH, CL, CR, CY, CZ, DE, DK, EC, EE, ES, FI, FR, GB, GI, GR, HR, HU, IE, IM, IS, IT, JE, JP, LI, LT, LU, LV, MC, MD, ME, MK, MT, MX, MY, NL, NO, NZ, PL, PT, RO, RS, SE, SG, SI, SK, SM, TR, UA, US, VA, VG</v>
      </c>
      <c r="E125" s="2" t="str">
        <f>IFERROR(__xludf.DUMMYFUNCTION("""COMPUTED_VALUE"""),"LAN Turtle Student Bundle")</f>
        <v>LAN Turtle Student Bundle</v>
      </c>
      <c r="F125" s="2" t="str">
        <f>IFERROR(__xludf.DUMMYFUNCTION("""COMPUTED_VALUE"""),"44293814452337")</f>
        <v>44293814452337</v>
      </c>
      <c r="G125" s="2">
        <f>IFERROR(__xludf.DUMMYFUNCTION("""COMPUTED_VALUE"""),150.0)</f>
        <v>150</v>
      </c>
      <c r="H125" s="2" t="str">
        <f>IFERROR(__xludf.DUMMYFUNCTION("""COMPUTED_VALUE"""),"USD")</f>
        <v>USD</v>
      </c>
      <c r="I125" s="5" t="str">
        <f>IFERROR(__xludf.DUMMYFUNCTION("""COMPUTED_VALUE"""),"https://shop.hak5.org/cart/44293814452337:1?attributes[click_id]=example_click_id")</f>
        <v>https://shop.hak5.org/cart/44293814452337:1?attributes[click_id]=example_click_id</v>
      </c>
    </row>
    <row r="126">
      <c r="A126" s="2" t="str">
        <f>IFERROR(__xludf.DUMMYFUNCTION("""COMPUTED_VALUE"""),"Department Stores &amp; Marketplaces")</f>
        <v>Department Stores &amp; Marketplaces</v>
      </c>
      <c r="B126" s="2" t="str">
        <f>IFERROR(__xludf.DUMMYFUNCTION("""COMPUTED_VALUE"""),"SG")</f>
        <v>SG</v>
      </c>
      <c r="C126" s="5" t="str">
        <f>IFERROR(__xludf.DUMMYFUNCTION("""COMPUTED_VALUE"""),"shoppy.sg")</f>
        <v>shoppy.sg</v>
      </c>
      <c r="D126" s="2" t="str">
        <f>IFERROR(__xludf.DUMMYFUNCTION("""COMPUTED_VALUE"""),"*, HK, MY, SG")</f>
        <v>*, HK, MY, SG</v>
      </c>
      <c r="E126" s="2" t="str">
        <f>IFERROR(__xludf.DUMMYFUNCTION("""COMPUTED_VALUE"""),"Ultrasonic Mosquito Repeller")</f>
        <v>Ultrasonic Mosquito Repeller</v>
      </c>
      <c r="F126" s="2" t="str">
        <f>IFERROR(__xludf.DUMMYFUNCTION("""COMPUTED_VALUE"""),"15858759139377")</f>
        <v>15858759139377</v>
      </c>
      <c r="G126" s="2">
        <f>IFERROR(__xludf.DUMMYFUNCTION("""COMPUTED_VALUE"""),22.9)</f>
        <v>22.9</v>
      </c>
      <c r="H126" s="2" t="str">
        <f>IFERROR(__xludf.DUMMYFUNCTION("""COMPUTED_VALUE"""),"SGD")</f>
        <v>SGD</v>
      </c>
      <c r="I126" s="5" t="str">
        <f>IFERROR(__xludf.DUMMYFUNCTION("""COMPUTED_VALUE"""),"https://shoppy.sg/cart/15858759139377:1?attributes[click_id]=example_click_id")</f>
        <v>https://shoppy.sg/cart/15858759139377:1?attributes[click_id]=example_click_id</v>
      </c>
    </row>
    <row r="127">
      <c r="A127" s="2" t="str">
        <f>IFERROR(__xludf.DUMMYFUNCTION("""COMPUTED_VALUE"""),"Grocery &amp; Pantry")</f>
        <v>Grocery &amp; Pantry</v>
      </c>
      <c r="B127" s="2" t="str">
        <f>IFERROR(__xludf.DUMMYFUNCTION("""COMPUTED_VALUE"""),"SG")</f>
        <v>SG</v>
      </c>
      <c r="C127" s="5" t="str">
        <f>IFERROR(__xludf.DUMMYFUNCTION("""COMPUTED_VALUE"""),"sixeleven.xyz")</f>
        <v>sixeleven.xyz</v>
      </c>
      <c r="D127" s="2" t="str">
        <f>IFERROR(__xludf.DUMMYFUNCTION("""COMPUTED_VALUE"""),"MY, SG")</f>
        <v>MY, SG</v>
      </c>
      <c r="E127" s="2" t="str">
        <f>IFERROR(__xludf.DUMMYFUNCTION("""COMPUTED_VALUE"""),"CocoCoast - Chocolate Coconut Water - 500ml")</f>
        <v>CocoCoast - Chocolate Coconut Water - 500ml</v>
      </c>
      <c r="F127" s="2" t="str">
        <f>IFERROR(__xludf.DUMMYFUNCTION("""COMPUTED_VALUE"""),"58914729361568")</f>
        <v>58914729361568</v>
      </c>
      <c r="G127" s="2">
        <f>IFERROR(__xludf.DUMMYFUNCTION("""COMPUTED_VALUE"""),3.85)</f>
        <v>3.85</v>
      </c>
      <c r="H127" s="2" t="str">
        <f>IFERROR(__xludf.DUMMYFUNCTION("""COMPUTED_VALUE"""),"SGD")</f>
        <v>SGD</v>
      </c>
      <c r="I127" s="5" t="str">
        <f>IFERROR(__xludf.DUMMYFUNCTION("""COMPUTED_VALUE"""),"https://sixeleven.xyz/cart/58914729361568:1?attributes[click_id]=example_click_id")</f>
        <v>https://sixeleven.xyz/cart/58914729361568:1?attributes[click_id]=example_click_id</v>
      </c>
    </row>
    <row r="128">
      <c r="A128" s="2" t="str">
        <f>IFERROR(__xludf.DUMMYFUNCTION("""COMPUTED_VALUE"""),"Gifts &amp; Flowers")</f>
        <v>Gifts &amp; Flowers</v>
      </c>
      <c r="B128" s="2" t="str">
        <f>IFERROR(__xludf.DUMMYFUNCTION("""COMPUTED_VALUE"""),"SG")</f>
        <v>SG</v>
      </c>
      <c r="C128" s="5" t="str">
        <f>IFERROR(__xludf.DUMMYFUNCTION("""COMPUTED_VALUE"""),"spectrumstore.sg")</f>
        <v>spectrumstore.sg</v>
      </c>
      <c r="D128" s="2" t="str">
        <f>IFERROR(__xludf.DUMMYFUNCTION("""COMPUTED_VALUE"""),"AC, AD, AE, AF, AG, AI, AL, AM, AO, AR, AT, AU, AW, AX, AZ, BA, BB, BD, BE, BF, BG, BH, BI, BJ, BL, BM, BN, BO, BQ, BR, BS, BT, BW, BY, BZ, CA, CC, CD, CF, CG, CH, CI, CK, CL, CM, CN, CO, CR, CV, CW, CX, CY, CZ, DE, DJ, DK, DM, DO, DZ, EC, EE, EG, EH, ER,"&amp;" ES, ET, FI, FJ, FK, FO, FR, GA, GB, GD, GE, GF, GG, GH, GI, GL, GM, GN, GP, GQ, GR, GS, GT, GW, GY, HK, HN, HR, HT, HU, ID, IE, IL, IM, IN, IO, IQ, IS, IT, JE, JM, JO, JP, KE, KG, KH, KI, KM, KN, KR, KW, KY, KZ, LA, LB, LC, LI, LK, LR, LS, LT, LU, LV, LY"&amp;", MA, MC, MD, ME, MF, MG, MK, ML, MM, MN, MO, MQ, MR, MS, MT, MU, MV, MW, MX, MY, MZ, NA, NC, NE, NF, NG, NI, NL, NO, NP, NR, NU, NZ, OM, PA, PE, PF, PG, PH, PK, PL, PM, PN, PS, PT, PY, QA, RE, RO, RS, RU, RW, SA, SB, SC, SD, SE, SG, SH, SI, SJ, SK, SL, S"&amp;"M, SN, SO, SR, SS, ST, SV, SX, SZ, TA, TC, TD, TF, TG, TH, TJ, TK, TL, TM, TN, TO, TR, TT, TV, TW, TZ, UA, UG, UM, US, UY, UZ, VA, VC, VE, VG, VN, VU, WF, WS, XK, YE, YT, ZA, ZM, ZW")</f>
        <v>AC, AD, AE, AF, AG, AI, AL, AM, AO, AR, AT, AU, AW, AX, AZ, BA, BB, BD, BE, BF, BG, BH, BI, BJ, BL, BM, BN, BO, BQ, BR, BS, BT, BW, BY, BZ, CA, CC, CD, CF, CG, CH, CI, CK, CL, CM, CN, CO, CR, CV, CW, CX, CY, CZ, DE, DJ, DK, DM, DO, DZ, EC, EE, EG, EH, ER, ES, ET, FI, FJ, FK, FO, FR, GA, GB, GD, GE, GF, GG, GH, GI, GL, GM, GN, GP, GQ, GR, GS, GT, GW, GY, HK, HN, HR, HT, HU, ID, IE, IL, IM, IN, IO, IQ, IS, IT, JE, JM, JO, JP, KE, KG, KH, KI, KM, KN, KR, KW, KY, KZ, LA, LB, LC, LI, LK, LR, LS, LT, LU, LV, LY, MA, MC, MD, ME, MF, MG, MK, ML, MM, MN, MO, MQ, MR, MS, MT, MU, MV, MW, MX, MY, MZ, NA, NC, NE, NF, NG, NI, NL, NO, NP, NR, NU, NZ, OM, PA, PE, PF, PG, PH, PK, PL, PM, PN, PS, PT, PY, QA, RE, RO, RS, RU, RW, SA, SB, SC, SD, SE, SG, SH, SI, SJ, SK, SL, SM, SN, SO, SR, SS, ST, SV, SX, SZ, TA, TC, TD, TF, TG, TH, TJ, TK, TL, TM, TN, TO, TR, TT, TV, TW, TZ, UA, UG, UM, US, UY, UZ, VA, VC, VE, VG, VN, VU, WF, WS, XK, YE, YT, ZA, ZM, ZW</v>
      </c>
      <c r="E128" s="2" t="str">
        <f>IFERROR(__xludf.DUMMYFUNCTION("""COMPUTED_VALUE"""),"Puffy Laptop Sleeve 13/14in - Leopard")</f>
        <v>Puffy Laptop Sleeve 13/14in - Leopard</v>
      </c>
      <c r="F128" s="2" t="str">
        <f>IFERROR(__xludf.DUMMYFUNCTION("""COMPUTED_VALUE"""),"50275440034035")</f>
        <v>50275440034035</v>
      </c>
      <c r="G128" s="2">
        <f>IFERROR(__xludf.DUMMYFUNCTION("""COMPUTED_VALUE"""),59.0)</f>
        <v>59</v>
      </c>
      <c r="H128" s="2" t="str">
        <f>IFERROR(__xludf.DUMMYFUNCTION("""COMPUTED_VALUE"""),"SGD")</f>
        <v>SGD</v>
      </c>
      <c r="I128" s="5" t="str">
        <f>IFERROR(__xludf.DUMMYFUNCTION("""COMPUTED_VALUE"""),"https://spectrumstore.sg/cart/50275440034035:1?attributes[click_id]=example_click_id")</f>
        <v>https://spectrumstore.sg/cart/50275440034035:1?attributes[click_id]=example_click_id</v>
      </c>
    </row>
    <row r="129">
      <c r="A129" s="2" t="str">
        <f>IFERROR(__xludf.DUMMYFUNCTION("""COMPUTED_VALUE"""),"Books &amp; Stationery")</f>
        <v>Books &amp; Stationery</v>
      </c>
      <c r="B129" s="2" t="str">
        <f>IFERROR(__xludf.DUMMYFUNCTION("""COMPUTED_VALUE"""),"HK")</f>
        <v>HK</v>
      </c>
      <c r="C129" s="5" t="str">
        <f>IFERROR(__xludf.DUMMYFUNCTION("""COMPUTED_VALUE"""),"stationerypal.com")</f>
        <v>stationerypal.com</v>
      </c>
      <c r="D129" s="2" t="str">
        <f>IFERROR(__xludf.DUMMYFUNCTION("""COMPUTED_VALUE"""),"AE, AM, AR, AT, AU, BA, BD, BE, BG, BH, BN, CA, CH, CL, CO, CR, CY, CZ, DE, DK, DO, DZ, EC, EE, EG, ES, FI, FR, GB, GR, GT, HK, HR, HU, ID, IE, IL, IN, IS, IT, JP, KR, KW, KZ, LK, LT, LU, LV, MA, ME, MO, MT, MU, MX, MY, NL, NO, NZ, OM, PA, PE, PH, PK, PL,"&amp;" PT, QA, RO, RU, SA, SE, SG, SI, SK, SV, TH, TR, TW, US, VN, ZA")</f>
        <v>AE, AM, AR, AT, AU, BA, BD, BE, BG, BH, BN, CA, CH, CL, CO, CR, CY, CZ, DE, DK, DO, DZ, EC, EE, EG, ES, FI, FR, GB, GR, GT, HK, HR, HU, ID, IE, IL, IN, IS, IT, JP, KR, KW, KZ, LK, LT, LU, LV, MA, ME, MO, MT, MU, MX, MY, NL, NO, NZ, OM, PA, PE, PH, PK, PL, PT, QA, RO, RU, SA, SE, SG, SI, SK, SV, TH, TR, TW, US, VN, ZA</v>
      </c>
      <c r="E129" s="2" t="str">
        <f>IFERROR(__xludf.DUMMYFUNCTION("""COMPUTED_VALUE"""),"Puppy Notepad - Moon")</f>
        <v>Puppy Notepad - Moon</v>
      </c>
      <c r="F129" s="2" t="str">
        <f>IFERROR(__xludf.DUMMYFUNCTION("""COMPUTED_VALUE"""),"40038938247235")</f>
        <v>40038938247235</v>
      </c>
      <c r="G129" s="2">
        <f>IFERROR(__xludf.DUMMYFUNCTION("""COMPUTED_VALUE"""),1.41)</f>
        <v>1.41</v>
      </c>
      <c r="H129" s="2" t="str">
        <f>IFERROR(__xludf.DUMMYFUNCTION("""COMPUTED_VALUE"""),"USD")</f>
        <v>USD</v>
      </c>
      <c r="I129" s="5" t="str">
        <f>IFERROR(__xludf.DUMMYFUNCTION("""COMPUTED_VALUE"""),"https://stationerypal.com/cart/40038938247235:1?attributes[click_id]=example_click_id")</f>
        <v>https://stationerypal.com/cart/40038938247235:1?attributes[click_id]=example_click_id</v>
      </c>
    </row>
    <row r="130">
      <c r="A130" s="2" t="str">
        <f>IFERROR(__xludf.DUMMYFUNCTION("""COMPUTED_VALUE"""),"Maker &amp; DIY Electronics")</f>
        <v>Maker &amp; DIY Electronics</v>
      </c>
      <c r="B130" s="2" t="str">
        <f>IFERROR(__xludf.DUMMYFUNCTION("""COMPUTED_VALUE"""),"EG")</f>
        <v>EG</v>
      </c>
      <c r="C130" s="5" t="str">
        <f>IFERROR(__xludf.DUMMYFUNCTION("""COMPUTED_VALUE"""),"store.fut-electronics.com")</f>
        <v>store.fut-electronics.com</v>
      </c>
      <c r="D130" s="2" t="str">
        <f>IFERROR(__xludf.DUMMYFUNCTION("""COMPUTED_VALUE"""),"AC, AD, AE, AF, AG, AI, AL, AM, AO, AR, AT, AU, AW, AX, AZ, BA, BB, BD, BE, BF, BG, BH, BI, BJ, BL, BM, BN, BO, BQ, BR, BS, BT, BV, BW, BY, BZ, CA, CC, CD, CF, CG, CH, CI, CK, CL, CM, CN, CO, CR, CV, CW, CX, CY, CZ, DE, DJ, DK, DM, DO, DZ, EC, EE, EG, EH,"&amp;" ER, ES, ET, FI, FJ, FK, FO, FR, GA, GB, GD, GE, GF, GG, GH, GI, GL, GM, GN, GP, GQ, GR, GS, GT, GW, GY, HK, HM, HN, HR, HT, HU, ID, IE, IL, IM, IN, IO, IQ, IS, IT, JE, JM, JO, JP, KE, KG, KH, KI, KM, KN, KR, KW, KY, KZ, LA, LB, LC, LI, LK, LR, LS, LT, LU"&amp;", LV, LY, MA, MC, MD, ME, MF, MG, MK, ML, MM, MN, MO, MQ, MR, MS, MT, MU, MV, MW, MX, MY, MZ, NA, NC, NE, NF, NG, NI, NL, NO, NP, NR, NU, NZ, OM, PA, PE, PF, PG, PH, PK, PL, PM, PN, PS, PT, PY, QA, RE, RO, RS, RU, RW, SA, SB, SC, SD, SE, SG, SH, SI, SJ, S"&amp;"K, SL, SM, SN, SO, SR, SS, ST, SV, SX, SZ, TA, TC, TD, TF, TG, TH, TJ, TK, TL, TM, TN, TO, TR, TT, TV, TW, TZ, UA, UG, UM, US, UY, UZ, VA, VC, VE, VG, VN, VU, WF, WS, XK, YE, YT, ZA, ZM, ZW")</f>
        <v>AC, AD, AE, AF, AG, AI, AL, AM, AO, AR, AT, AU, AW, AX, AZ, BA, BB, BD, BE, BF, BG, BH, BI, BJ, BL, BM, BN, BO, BQ, BR, BS, BT, BV, BW, BY, BZ, CA, CC, CD, CF, CG, CH, CI, CK, CL, CM, CN, CO, CR, CV, CW, CX, CY, CZ, DE, DJ, DK, DM, DO, DZ, EC, EE, EG, EH, ER, ES, ET, FI, FJ, FK, FO, FR, GA, GB, GD, GE, GF, GG, GH, GI, GL, GM, GN, GP, GQ, GR, GS, GT, GW, GY, HK, HM, HN, HR, HT, HU, ID, IE, IL, IM, IN, IO, IQ, IS, IT, JE, JM, JO, JP, KE, KG, KH, KI, KM, KN, KR, KW, KY, KZ, LA, LB, LC, LI, LK, LR, LS, LT, LU, LV, LY, MA, MC, MD, ME, MF, MG, MK, ML, MM, MN, MO, MQ, MR, MS, MT, MU, MV, MW, MX, MY, MZ, NA, NC, NE, NF, NG, NI, NL, NO, NP, NR, NU, NZ, OM, PA, PE, PF, PG, PH, PK, PL, PM, PN, PS, PT, PY, QA, RE, RO, RS, RU, RW, SA, SB, SC, SD, SE, SG, SH, SI, SJ, SK, SL, SM, SN, SO, SR, SS, ST, SV, SX, SZ, TA, TC, TD, TF, TG, TH, TJ, TK, TL, TM, TN, TO, TR, TT, TV, TW, TZ, UA, UG, UM, US, UY, UZ, VA, VC, VE, VG, VN, VU, WF, WS, XK, YE, YT, ZA, ZM, ZW</v>
      </c>
      <c r="E130" s="2" t="str">
        <f>IFERROR(__xludf.DUMMYFUNCTION("""COMPUTED_VALUE"""),"ESP32-C6 Development Board")</f>
        <v>ESP32-C6 Development Board</v>
      </c>
      <c r="F130" s="2" t="str">
        <f>IFERROR(__xludf.DUMMYFUNCTION("""COMPUTED_VALUE"""),"67577340559469")</f>
        <v>67577340559469</v>
      </c>
      <c r="G130" s="2">
        <f>IFERROR(__xludf.DUMMYFUNCTION("""COMPUTED_VALUE"""),499.0)</f>
        <v>499</v>
      </c>
      <c r="H130" s="2" t="str">
        <f>IFERROR(__xludf.DUMMYFUNCTION("""COMPUTED_VALUE"""),"EGP")</f>
        <v>EGP</v>
      </c>
      <c r="I130" s="5" t="str">
        <f>IFERROR(__xludf.DUMMYFUNCTION("""COMPUTED_VALUE"""),"https://store.fut-electronics.com/cart/67577340559469:1?attributes[click_id]=example_click_id")</f>
        <v>https://store.fut-electronics.com/cart/67577340559469:1?attributes[click_id]=example_click_id</v>
      </c>
    </row>
    <row r="131">
      <c r="A131" s="2" t="str">
        <f>IFERROR(__xludf.DUMMYFUNCTION("""COMPUTED_VALUE"""),"Home &amp; Living")</f>
        <v>Home &amp; Living</v>
      </c>
      <c r="B131" s="2" t="str">
        <f>IFERROR(__xludf.DUMMYFUNCTION("""COMPUTED_VALUE"""),"HK")</f>
        <v>HK</v>
      </c>
      <c r="C131" s="5" t="str">
        <f>IFERROR(__xludf.DUMMYFUNCTION("""COMPUTED_VALUE"""),"suburban.com.hk")</f>
        <v>suburban.com.hk</v>
      </c>
      <c r="D131" s="2" t="str">
        <f>IFERROR(__xludf.DUMMYFUNCTION("""COMPUTED_VALUE"""),"AD, AE, AF, AG, AI, AL, AM, AR, AT, AU, AW, AX, AZ, BA, BB, BD, BE, BG, BH, BL, BM, BN, BO, BQ, BR, BS, BT, BY, BZ, CA, CC, CH, CK, CL, CN, CO, CR, CW, CX, CY, CZ, DE, DK, DM, DO, EC, EE, EG, ES, FI, FJ, FK, FO, FR, GB, GD, GE, GF, GG, GH, GI, GL, GP, GR,"&amp;" GS, GT, GY, HK, HN, HR, HT, HU, ID, IE, IL, IM, IN, IO, IQ, IS, IT, JE, JM, JO, JP, KG, KH, KI, KN, KR, KW, KY, KZ, LA, LB, LC, LI, LK, LT, LU, LV, MC, MD, ME, MF, MK, MM, MN, MO, MQ, MS, MT, MV, MX, MY, NC, NF, NI, NL, NO, NP, NR, NU, NZ, OM, PA, PE, PF"&amp;", PG, PH, PK, PL, PM, PN, PS, PT, PY, QA, RE, RO, RS, RU, SA, SB, SC, SE, SG, SI, SJ, SK, SM, SR, SV, SX, TC, TF, TH, TJ, TK, TL, TM, TO, TR, TT, TV, TW, UM, US, UY, UZ, VA, VC, VG, VN, VU, WF, WS, XK, YE, YT, ZA")</f>
        <v>AD, AE, AF, AG, AI, AL, AM, AR, AT, AU, AW, AX, AZ, BA, BB, BD, BE, BG, BH, BL, BM, BN, BO, BQ, BR, BS, BT, BY, BZ, CA, CC, CH, CK, CL, CN, CO, CR, CW, CX, CY, CZ, DE, DK, DM, DO, EC, EE, EG, ES, FI, FJ, FK, FO, FR, GB, GD, GE, GF, GG, GH, GI, GL, GP, GR, GS, GT, GY, HK, HN, HR, HT, HU, ID, IE, IL, IM, IN, IO, IQ, IS, IT, JE, JM, JO, JP, KG, KH, KI, KN, KR, KW, KY, KZ, LA, LB, LC, LI, LK, LT, LU, LV, MC, MD, ME, MF, MK, MM, MN, MO, MQ, MS, MT, MV, MX, MY, NC, NF, NI, NL, NO, NP, NR, NU, NZ, OM, PA, PE, PF, PG, PH, PK, PL, PM, PN, PS, PT, PY, QA, RE, RO, RS, RU, SA, SB, SC, SE, SG, SI, SJ, SK, SM, SR, SV, SX, TC, TF, TH, TJ, TK, TL, TM, TO, TR, TT, TV, TW, UM, US, UY, UZ, VA, VC, VG, VN, VU, WF, WS, XK, YE, YT, ZA</v>
      </c>
      <c r="E131" s="2" t="str">
        <f>IFERROR(__xludf.DUMMYFUNCTION("""COMPUTED_VALUE"""),"Sternum Strap #2 - V-Buckle (GITD) / 20mm")</f>
        <v>Sternum Strap #2 - V-Buckle (GITD) / 20mm</v>
      </c>
      <c r="F131" s="2" t="str">
        <f>IFERROR(__xludf.DUMMYFUNCTION("""COMPUTED_VALUE"""),"50524532474107")</f>
        <v>50524532474107</v>
      </c>
      <c r="G131" s="2">
        <f>IFERROR(__xludf.DUMMYFUNCTION("""COMPUTED_VALUE"""),200.0)</f>
        <v>200</v>
      </c>
      <c r="H131" s="2" t="str">
        <f>IFERROR(__xludf.DUMMYFUNCTION("""COMPUTED_VALUE"""),"HKD")</f>
        <v>HKD</v>
      </c>
      <c r="I131" s="5" t="str">
        <f>IFERROR(__xludf.DUMMYFUNCTION("""COMPUTED_VALUE"""),"https://suburban.com.hk/cart/50524532474107:1?attributes[click_id]=example_click_id")</f>
        <v>https://suburban.com.hk/cart/50524532474107:1?attributes[click_id]=example_click_id</v>
      </c>
    </row>
    <row r="132">
      <c r="A132" s="2" t="str">
        <f>IFERROR(__xludf.DUMMYFUNCTION("""COMPUTED_VALUE"""),"Grocery &amp; Pantry")</f>
        <v>Grocery &amp; Pantry</v>
      </c>
      <c r="B132" s="2" t="str">
        <f>IFERROR(__xludf.DUMMYFUNCTION("""COMPUTED_VALUE"""),"SG")</f>
        <v>SG</v>
      </c>
      <c r="C132" s="5" t="str">
        <f>IFERROR(__xludf.DUMMYFUNCTION("""COMPUTED_VALUE"""),"supernature.com.sg")</f>
        <v>supernature.com.sg</v>
      </c>
      <c r="D132" s="2" t="str">
        <f>IFERROR(__xludf.DUMMYFUNCTION("""COMPUTED_VALUE"""),"SG")</f>
        <v>SG</v>
      </c>
      <c r="E132" s="2" t="str">
        <f>IFERROR(__xludf.DUMMYFUNCTION("""COMPUTED_VALUE"""),"Organic Lime Sea Salt Kombucha, 330ml")</f>
        <v>Organic Lime Sea Salt Kombucha, 330ml</v>
      </c>
      <c r="F132" s="2" t="str">
        <f>IFERROR(__xludf.DUMMYFUNCTION("""COMPUTED_VALUE"""),"52034775843136")</f>
        <v>52034775843136</v>
      </c>
      <c r="G132" s="2">
        <f>IFERROR(__xludf.DUMMYFUNCTION("""COMPUTED_VALUE"""),8.08)</f>
        <v>8.08</v>
      </c>
      <c r="H132" s="2" t="str">
        <f>IFERROR(__xludf.DUMMYFUNCTION("""COMPUTED_VALUE"""),"SGD")</f>
        <v>SGD</v>
      </c>
      <c r="I132" s="5" t="str">
        <f>IFERROR(__xludf.DUMMYFUNCTION("""COMPUTED_VALUE"""),"https://eshop.supernature.com.sg/cart/52034775843136:1?attributes[click_id]=example_click_id")</f>
        <v>https://eshop.supernature.com.sg/cart/52034775843136:1?attributes[click_id]=example_click_id</v>
      </c>
    </row>
    <row r="133">
      <c r="A133" s="2" t="str">
        <f>IFERROR(__xludf.DUMMYFUNCTION("""COMPUTED_VALUE"""),"Maker &amp; DIY Electronics")</f>
        <v>Maker &amp; DIY Electronics</v>
      </c>
      <c r="B133" s="2" t="str">
        <f>IFERROR(__xludf.DUMMYFUNCTION("""COMPUTED_VALUE"""),"GB")</f>
        <v>GB</v>
      </c>
      <c r="C133" s="5" t="str">
        <f>IFERROR(__xludf.DUMMYFUNCTION("""COMPUTED_VALUE"""),"switchelectronics.co.uk")</f>
        <v>switchelectronics.co.uk</v>
      </c>
      <c r="D133" s="2" t="str">
        <f>IFERROR(__xludf.DUMMYFUNCTION("""COMPUTED_VALUE"""),"AE, AT, AU, BE, BG, BH, CA, CH, CY, CZ, DE, DK, EE, EG, ES, FI, FR, GB, GG, GR, HK, HR, HU, IE, IL, IM, IS, IT, JE, JP, KR, LT, LU, LV, MC, MT, MY, NL, NO, NZ, PL, PT, RO, SE, SG, SI, SK, US")</f>
        <v>AE, AT, AU, BE, BG, BH, CA, CH, CY, CZ, DE, DK, EE, EG, ES, FI, FR, GB, GG, GR, HK, HR, HU, IE, IL, IM, IS, IT, JE, JP, KR, LT, LU, LV, MC, MT, MY, NL, NO, NZ, PL, PT, RO, SE, SG, SI, SK, US</v>
      </c>
      <c r="E133" s="2" t="str">
        <f>IFERROR(__xludf.DUMMYFUNCTION("""COMPUTED_VALUE"""),"Replacement Soldering Iron for AT980E 80W ATTEN")</f>
        <v>Replacement Soldering Iron for AT980E 80W ATTEN</v>
      </c>
      <c r="F133" s="2" t="str">
        <f>IFERROR(__xludf.DUMMYFUNCTION("""COMPUTED_VALUE"""),"58511535079807")</f>
        <v>58511535079807</v>
      </c>
      <c r="G133" s="2">
        <f>IFERROR(__xludf.DUMMYFUNCTION("""COMPUTED_VALUE"""),19.2)</f>
        <v>19.2</v>
      </c>
      <c r="H133" s="2" t="str">
        <f>IFERROR(__xludf.DUMMYFUNCTION("""COMPUTED_VALUE"""),"GBP")</f>
        <v>GBP</v>
      </c>
      <c r="I133" s="5" t="str">
        <f>IFERROR(__xludf.DUMMYFUNCTION("""COMPUTED_VALUE"""),"https://www.switchelectronics.co.uk/cart/58511535079807:1?attributes[click_id]=example_click_id")</f>
        <v>https://www.switchelectronics.co.uk/cart/58511535079807:1?attributes[click_id]=example_click_id</v>
      </c>
    </row>
    <row r="134">
      <c r="A134" s="2" t="str">
        <f>IFERROR(__xludf.DUMMYFUNCTION("""COMPUTED_VALUE"""),"Computers &amp; Electronics")</f>
        <v>Computers &amp; Electronics</v>
      </c>
      <c r="B134" s="2" t="str">
        <f>IFERROR(__xludf.DUMMYFUNCTION("""COMPUTED_VALUE"""),"GB")</f>
        <v>GB</v>
      </c>
      <c r="C134" s="5" t="str">
        <f>IFERROR(__xludf.DUMMYFUNCTION("""COMPUTED_VALUE"""),"tech-wizz.co.uk")</f>
        <v>tech-wizz.co.uk</v>
      </c>
      <c r="D134" s="2" t="str">
        <f>IFERROR(__xludf.DUMMYFUNCTION("""COMPUTED_VALUE"""),"*, AE, AU, BE, CA, CH, CY, CZ, DE, DK, EE, ES, FI, FR, GB, HK, IE, IL, IT, JE, JP, KR, MY, NL, NO, NZ, PL, PT, QA, SE, SG, SV, US")</f>
        <v>*, AE, AU, BE, CA, CH, CY, CZ, DE, DK, EE, ES, FI, FR, GB, HK, IE, IL, IT, JE, JP, KR, MY, NL, NO, NZ, PL, PT, QA, SE, SG, SV, US</v>
      </c>
      <c r="E134" s="2" t="str">
        <f>IFERROR(__xludf.DUMMYFUNCTION("""COMPUTED_VALUE"""),"Lenovo Yoga Slim 7 14in OLED - Ryzen AI 5 330 16GB 512GB")</f>
        <v>Lenovo Yoga Slim 7 14in OLED - Ryzen AI 5 330 16GB 512GB</v>
      </c>
      <c r="F134" s="2" t="str">
        <f>IFERROR(__xludf.DUMMYFUNCTION("""COMPUTED_VALUE"""),"59274342367580")</f>
        <v>59274342367580</v>
      </c>
      <c r="G134" s="2">
        <f>IFERROR(__xludf.DUMMYFUNCTION("""COMPUTED_VALUE"""),669.99)</f>
        <v>669.99</v>
      </c>
      <c r="H134" s="2" t="str">
        <f>IFERROR(__xludf.DUMMYFUNCTION("""COMPUTED_VALUE"""),"GBP")</f>
        <v>GBP</v>
      </c>
      <c r="I134" s="5" t="str">
        <f>IFERROR(__xludf.DUMMYFUNCTION("""COMPUTED_VALUE"""),"https://www.tech-wizz.co.uk/cart/59274342367580:1?attributes[click_id]=example_click_id")</f>
        <v>https://www.tech-wizz.co.uk/cart/59274342367580:1?attributes[click_id]=example_click_id</v>
      </c>
    </row>
    <row r="135">
      <c r="A135" s="2" t="str">
        <f>IFERROR(__xludf.DUMMYFUNCTION("""COMPUTED_VALUE"""),"Computers &amp; Electronics")</f>
        <v>Computers &amp; Electronics</v>
      </c>
      <c r="B135" s="2" t="str">
        <f>IFERROR(__xludf.DUMMYFUNCTION("""COMPUTED_VALUE"""),"US")</f>
        <v>US</v>
      </c>
      <c r="C135" s="5" t="str">
        <f>IFERROR(__xludf.DUMMYFUNCTION("""COMPUTED_VALUE"""),"techforless.com")</f>
        <v>techforless.com</v>
      </c>
      <c r="D135" s="2" t="str">
        <f>IFERROR(__xludf.DUMMYFUNCTION("""COMPUTED_VALUE"""),"US")</f>
        <v>US</v>
      </c>
      <c r="E135" s="2" t="str">
        <f>IFERROR(__xludf.DUMMYFUNCTION("""COMPUTED_VALUE"""),"Kensington K75406US Pro Fit Ergo Wireless Keyboard - Open Box")</f>
        <v>Kensington K75406US Pro Fit Ergo Wireless Keyboard - Open Box</v>
      </c>
      <c r="F135" s="2" t="str">
        <f>IFERROR(__xludf.DUMMYFUNCTION("""COMPUTED_VALUE"""),"50542724153480")</f>
        <v>50542724153480</v>
      </c>
      <c r="G135" s="2">
        <f>IFERROR(__xludf.DUMMYFUNCTION("""COMPUTED_VALUE"""),59.97)</f>
        <v>59.97</v>
      </c>
      <c r="H135" s="2" t="str">
        <f>IFERROR(__xludf.DUMMYFUNCTION("""COMPUTED_VALUE"""),"USD")</f>
        <v>USD</v>
      </c>
      <c r="I135" s="5" t="str">
        <f>IFERROR(__xludf.DUMMYFUNCTION("""COMPUTED_VALUE"""),"https://www.techforless.com/cart/50542724153480:1?attributes[click_id]=example_click_id")</f>
        <v>https://www.techforless.com/cart/50542724153480:1?attributes[click_id]=example_click_id</v>
      </c>
    </row>
    <row r="136">
      <c r="A136" s="2" t="str">
        <f>IFERROR(__xludf.DUMMYFUNCTION("""COMPUTED_VALUE"""),"Grocery &amp; Pantry")</f>
        <v>Grocery &amp; Pantry</v>
      </c>
      <c r="B136" s="2" t="str">
        <f>IFERROR(__xludf.DUMMYFUNCTION("""COMPUTED_VALUE"""),"SG")</f>
        <v>SG</v>
      </c>
      <c r="C136" s="5" t="str">
        <f>IFERROR(__xludf.DUMMYFUNCTION("""COMPUTED_VALUE"""),"thefishwives.com")</f>
        <v>thefishwives.com</v>
      </c>
      <c r="D136" s="2" t="str">
        <f>IFERROR(__xludf.DUMMYFUNCTION("""COMPUTED_VALUE"""),"SG")</f>
        <v>SG</v>
      </c>
      <c r="E136" s="2" t="str">
        <f>IFERROR(__xludf.DUMMYFUNCTION("""COMPUTED_VALUE"""),"Yellow Onion (500g) - 500g Pack")</f>
        <v>Yellow Onion (500g) - 500g Pack</v>
      </c>
      <c r="F136" s="2" t="str">
        <f>IFERROR(__xludf.DUMMYFUNCTION("""COMPUTED_VALUE"""),"49640989720814")</f>
        <v>49640989720814</v>
      </c>
      <c r="G136" s="2">
        <f>IFERROR(__xludf.DUMMYFUNCTION("""COMPUTED_VALUE"""),4.0)</f>
        <v>4</v>
      </c>
      <c r="H136" s="2" t="str">
        <f>IFERROR(__xludf.DUMMYFUNCTION("""COMPUTED_VALUE"""),"SGD")</f>
        <v>SGD</v>
      </c>
      <c r="I136" s="5" t="str">
        <f>IFERROR(__xludf.DUMMYFUNCTION("""COMPUTED_VALUE"""),"https://thefishwives.com/cart/49640989720814:1?attributes[click_id]=example_click_id")</f>
        <v>https://thefishwives.com/cart/49640989720814:1?attributes[click_id]=example_click_id</v>
      </c>
    </row>
    <row r="137">
      <c r="A137" s="2" t="str">
        <f>IFERROR(__xludf.DUMMYFUNCTION("""COMPUTED_VALUE"""),"Grocery &amp; Pantry")</f>
        <v>Grocery &amp; Pantry</v>
      </c>
      <c r="B137" s="2" t="str">
        <f>IFERROR(__xludf.DUMMYFUNCTION("""COMPUTED_VALUE"""),"SG")</f>
        <v>SG</v>
      </c>
      <c r="C137" s="5" t="str">
        <f>IFERROR(__xludf.DUMMYFUNCTION("""COMPUTED_VALUE"""),"thegoldenduck.co")</f>
        <v>thegoldenduck.co</v>
      </c>
      <c r="D137" s="2" t="str">
        <f>IFERROR(__xludf.DUMMYFUNCTION("""COMPUTED_VALUE"""),"AU, CA, CH, DE, FR, GB, HK, ID, MY, NL, NZ, SG, TH, US")</f>
        <v>AU, CA, CH, DE, FR, GB, HK, ID, MY, NL, NZ, SG, TH, US</v>
      </c>
      <c r="E137" s="2" t="str">
        <f>IFERROR(__xludf.DUMMYFUNCTION("""COMPUTED_VALUE"""),"Signature Snackbox: Sichuan Mala Hot Pot Potato Ridges - 4 packs")</f>
        <v>Signature Snackbox: Sichuan Mala Hot Pot Potato Ridges - 4 packs</v>
      </c>
      <c r="F137" s="2" t="str">
        <f>IFERROR(__xludf.DUMMYFUNCTION("""COMPUTED_VALUE"""),"45089923137708")</f>
        <v>45089923137708</v>
      </c>
      <c r="G137" s="2">
        <f>IFERROR(__xludf.DUMMYFUNCTION("""COMPUTED_VALUE"""),39.0)</f>
        <v>39</v>
      </c>
      <c r="H137" s="2" t="str">
        <f>IFERROR(__xludf.DUMMYFUNCTION("""COMPUTED_VALUE"""),"SGD")</f>
        <v>SGD</v>
      </c>
      <c r="I137" s="5" t="str">
        <f>IFERROR(__xludf.DUMMYFUNCTION("""COMPUTED_VALUE"""),"https://www.thegoldenduck.co/cart/45089923137708:1?attributes[click_id]=example_click_id")</f>
        <v>https://www.thegoldenduck.co/cart/45089923137708:1?attributes[click_id]=example_click_id</v>
      </c>
    </row>
    <row r="138">
      <c r="A138" s="2" t="str">
        <f>IFERROR(__xludf.DUMMYFUNCTION("""COMPUTED_VALUE"""),"Maker &amp; DIY Electronics")</f>
        <v>Maker &amp; DIY Electronics</v>
      </c>
      <c r="B138" s="2" t="str">
        <f>IFERROR(__xludf.DUMMYFUNCTION("""COMPUTED_VALUE"""),"GB")</f>
        <v>GB</v>
      </c>
      <c r="C138" s="5" t="str">
        <f>IFERROR(__xludf.DUMMYFUNCTION("""COMPUTED_VALUE"""),"thepihut.com")</f>
        <v>thepihut.com</v>
      </c>
      <c r="D138" s="2" t="str">
        <f>IFERROR(__xludf.DUMMYFUNCTION("""COMPUTED_VALUE"""),"AD, AT, AU, BE, CA, CH, CY, CZ, DE, DK, EE, ES, FI, FO, FR, GB, GG, GI, GR, HR, HU, IE, IM, IS, IT, JE, JP, LI, LT, LU, LV, MC, NL, NO, NZ, PL, PT, RO, SE, SI, SJ, SK, SM, TR, UM, US, VA, YT")</f>
        <v>AD, AT, AU, BE, CA, CH, CY, CZ, DE, DK, EE, ES, FI, FO, FR, GB, GG, GI, GR, HR, HU, IE, IM, IS, IT, JE, JP, LI, LT, LU, LV, MC, NL, NO, NZ, PL, PT, RO, SE, SI, SJ, SK, SM, TR, UM, US, VA, YT</v>
      </c>
      <c r="E138" s="2" t="str">
        <f>IFERROR(__xludf.DUMMYFUNCTION("""COMPUTED_VALUE"""),"SupTronics X1509 Dual Ethernet 8-Port SATA Carrier for CM5")</f>
        <v>SupTronics X1509 Dual Ethernet 8-Port SATA Carrier for CM5</v>
      </c>
      <c r="F138" s="2" t="str">
        <f>IFERROR(__xludf.DUMMYFUNCTION("""COMPUTED_VALUE"""),"56318061052289")</f>
        <v>56318061052289</v>
      </c>
      <c r="G138" s="2">
        <f>IFERROR(__xludf.DUMMYFUNCTION("""COMPUTED_VALUE"""),87.5)</f>
        <v>87.5</v>
      </c>
      <c r="H138" s="2" t="str">
        <f>IFERROR(__xludf.DUMMYFUNCTION("""COMPUTED_VALUE"""),"GBP")</f>
        <v>GBP</v>
      </c>
      <c r="I138" s="5" t="str">
        <f>IFERROR(__xludf.DUMMYFUNCTION("""COMPUTED_VALUE"""),"https://thepihut.com/cart/56318061052289:1?attributes[click_id]=example_click_id")</f>
        <v>https://thepihut.com/cart/56318061052289:1?attributes[click_id]=example_click_id</v>
      </c>
    </row>
    <row r="139">
      <c r="A139" s="2" t="str">
        <f>IFERROR(__xludf.DUMMYFUNCTION("""COMPUTED_VALUE"""),"Home &amp; Living")</f>
        <v>Home &amp; Living</v>
      </c>
      <c r="B139" s="2" t="str">
        <f>IFERROR(__xludf.DUMMYFUNCTION("""COMPUTED_VALUE"""),"SG")</f>
        <v>SG</v>
      </c>
      <c r="C139" s="5" t="str">
        <f>IFERROR(__xludf.DUMMYFUNCTION("""COMPUTED_VALUE"""),"thesocialspace.co")</f>
        <v>thesocialspace.co</v>
      </c>
      <c r="D139" s="2" t="str">
        <f>IFERROR(__xludf.DUMMYFUNCTION("""COMPUTED_VALUE"""),"MY, SG")</f>
        <v>MY, SG</v>
      </c>
      <c r="E139" s="2" t="str">
        <f>IFERROR(__xludf.DUMMYFUNCTION("""COMPUTED_VALUE"""),"The Little Mama Shop (150-piece mini puzzle)")</f>
        <v>The Little Mama Shop (150-piece mini puzzle)</v>
      </c>
      <c r="F139" s="2" t="str">
        <f>IFERROR(__xludf.DUMMYFUNCTION("""COMPUTED_VALUE"""),"48788677656830")</f>
        <v>48788677656830</v>
      </c>
      <c r="G139" s="2">
        <f>IFERROR(__xludf.DUMMYFUNCTION("""COMPUTED_VALUE"""),15.0)</f>
        <v>15</v>
      </c>
      <c r="H139" s="2" t="str">
        <f>IFERROR(__xludf.DUMMYFUNCTION("""COMPUTED_VALUE"""),"SGD")</f>
        <v>SGD</v>
      </c>
      <c r="I139" s="5" t="str">
        <f>IFERROR(__xludf.DUMMYFUNCTION("""COMPUTED_VALUE"""),"https://thesocialspace.co/cart/48788677656830:1?attributes[click_id]=example_click_id")</f>
        <v>https://thesocialspace.co/cart/48788677656830:1?attributes[click_id]=example_click_id</v>
      </c>
    </row>
    <row r="140">
      <c r="A140" s="2" t="str">
        <f>IFERROR(__xludf.DUMMYFUNCTION("""COMPUTED_VALUE"""),"Fashion &amp; Apparel")</f>
        <v>Fashion &amp; Apparel</v>
      </c>
      <c r="B140" s="2" t="str">
        <f>IFERROR(__xludf.DUMMYFUNCTION("""COMPUTED_VALUE"""),"SG")</f>
        <v>SG</v>
      </c>
      <c r="C140" s="5" t="str">
        <f>IFERROR(__xludf.DUMMYFUNCTION("""COMPUTED_VALUE"""),"thetinselrack.com")</f>
        <v>thetinselrack.com</v>
      </c>
      <c r="D140" s="2" t="str">
        <f>IFERROR(__xludf.DUMMYFUNCTION("""COMPUTED_VALUE"""),"AC, AD, AE, AF, AG, AI, AL, AM, AO, AR, AT, AU, AW, AX, AZ, BA, BB, BD, BE, BF, BG, BH, BI, BJ, BL, BM, BN, BO, BQ, BR, BS, BT, BW, BY, BZ, CA, CC, CD, CF, CG, CH, CI, CK, CL, CM, CN, CO, CR, CV, CW, CX, CY, CZ, DE, DJ, DK, DM, DO, DZ, EC, EE, EG, EH, ER,"&amp;" ES, ET, FI, FJ, FK, FO, FR, GA, GB, GD, GE, GF, GG, GH, GI, GL, GM, GN, GP, GQ, GR, GS, GT, GW, GY, HK, HN, HR, HT, HU, ID, IE, IL, IM, IN, IO, IQ, IS, IT, JE, JM, JO, JP, KE, KG, KH, KI, KM, KN, KR, KW, KY, KZ, LA, LB, LC, LI, LK, LR, LS, LT, LU, LV, LY"&amp;", MA, MC, MD, ME, MF, MG, MK, ML, MM, MN, MO, MQ, MR, MS, MT, MU, MV, MW, MX, MY, MZ, NA, NC, NE, NF, NG, NI, NL, NO, NP, NR, NU, NZ, OM, PA, PE, PF, PG, PH, PK, PL, PM, PN, PS, PT, PY, QA, RE, RO, RS, RU, RW, SA, SB, SC, SD, SE, SG, SH, SI, SJ, SK, SL, S"&amp;"M, SN, SO, SR, SS, ST, SV, SX, SZ, TA, TC, TD, TF, TG, TH, TJ, TK, TL, TM, TN, TO, TR, TT, TV, TW, TZ, UA, UG, UM, US, UY, UZ, VA, VC, VE, VG, VN, VU, WF, WS, XK, YE, YT, ZA, ZM, ZW")</f>
        <v>AC, AD, AE, AF, AG, AI, AL, AM, AO, AR, AT, AU, AW, AX, AZ, BA, BB, BD, BE, BF, BG, BH, BI, BJ, BL, BM, BN, BO, BQ, BR, BS, BT, BW, BY, BZ, CA, CC, CD, CF, CG, CH, CI, CK, CL, CM, CN, CO, CR, CV, CW, CX, CY, CZ, DE, DJ, DK, DM, DO, DZ, EC, EE, EG, EH, ER, ES, ET, FI, FJ, FK, FO, FR, GA, GB, GD, GE, GF, GG, GH, GI, GL, GM, GN, GP, GQ, GR, GS, GT, GW, GY, HK, HN, HR, HT, HU, ID, IE, IL, IM, IN, IO, IQ, IS, IT, JE, JM, JO, JP, KE, KG, KH, KI, KM, KN, KR, KW, KY, KZ, LA, LB, LC, LI, LK, LR, LS, LT, LU, LV, LY, MA, MC, MD, ME, MF, MG, MK, ML, MM, MN, MO, MQ, MR, MS, MT, MU, MV, MW, MX, MY, MZ, NA, NC, NE, NF, NG, NI, NL, NO, NP, NR, NU, NZ, OM, PA, PE, PF, PG, PH, PK, PL, PM, PN, PS, PT, PY, QA, RE, RO, RS, RU, RW, SA, SB, SC, SD, SE, SG, SH, SI, SJ, SK, SL, SM, SN, SO, SR, SS, ST, SV, SX, SZ, TA, TC, TD, TF, TG, TH, TJ, TK, TL, TM, TN, TO, TR, TT, TV, TW, TZ, UA, UG, UM, US, UY, UZ, VA, VC, VE, VG, VN, VU, WF, WS, XK, YE, YT, ZA, ZM, ZW</v>
      </c>
      <c r="E140" s="2" t="str">
        <f>IFERROR(__xludf.DUMMYFUNCTION("""COMPUTED_VALUE"""),"Tessa Button Top (Linen) - Black / XXS")</f>
        <v>Tessa Button Top (Linen) - Black / XXS</v>
      </c>
      <c r="F140" s="2" t="str">
        <f>IFERROR(__xludf.DUMMYFUNCTION("""COMPUTED_VALUE"""),"50444746588243")</f>
        <v>50444746588243</v>
      </c>
      <c r="G140" s="2">
        <f>IFERROR(__xludf.DUMMYFUNCTION("""COMPUTED_VALUE"""),42.0)</f>
        <v>42</v>
      </c>
      <c r="H140" s="2" t="str">
        <f>IFERROR(__xludf.DUMMYFUNCTION("""COMPUTED_VALUE"""),"SGD")</f>
        <v>SGD</v>
      </c>
      <c r="I140" s="5" t="str">
        <f>IFERROR(__xludf.DUMMYFUNCTION("""COMPUTED_VALUE"""),"https://thetinselrack.com/cart/50444746588243:1?attributes[click_id]=example_click_id")</f>
        <v>https://thetinselrack.com/cart/50444746588243:1?attributes[click_id]=example_click_id</v>
      </c>
    </row>
    <row r="141">
      <c r="A141" s="2" t="str">
        <f>IFERROR(__xludf.DUMMYFUNCTION("""COMPUTED_VALUE"""),"Footwear &amp; Bags")</f>
        <v>Footwear &amp; Bags</v>
      </c>
      <c r="B141" s="2" t="str">
        <f>IFERROR(__xludf.DUMMYFUNCTION("""COMPUTED_VALUE"""),"US")</f>
        <v>US</v>
      </c>
      <c r="C141" s="5" t="str">
        <f>IFERROR(__xludf.DUMMYFUNCTION("""COMPUTED_VALUE"""),"thursdayboots.com")</f>
        <v>thursdayboots.com</v>
      </c>
      <c r="D141" s="2" t="str">
        <f>IFERROR(__xludf.DUMMYFUNCTION("""COMPUTED_VALUE"""),"AD, AE, AG, AI, AL, AM, AO, AR, AT, AU, AW, AZ, BA, BB, BD, BE, BF, BG, BH, BI, BJ, BL, BM, BN, BO, BR, BS, BT, BW, BZ, CA, CG, CH, CI, CK, CL, CM, CN, CO, CR, CV, CW, CY, CZ, DE, DJ, DK, DM, DO, DZ, EC, EE, EG, ES, ET, FI, FJ, FK, FO, FR, GA, GB, GD, GE,"&amp;" GF, GG, GH, GI, GL, GM, GN, GP, GQ, GR, GT, GW, GY, HK, HN, HR, HT, HU, ID, IE, IL, IM, IN, IS, IT, JE, JM, JO, JP, KE, KG, KH, KI, KM, KN, KR, KW, KY, KZ, LA, LB, LC, LI, LK, LR, LS, LT, LU, LV, MA, MC, MD, ME, MF, MG, MK, MN, MO, MQ, MR, MS, MT, MU, MV"&amp;", MW, MX, MY, MZ, NA, NC, NG, NI, NL, NO, NP, NR, NU, NZ, OM, PA, PE, PF, PG, PH, PK, PL, PT, PY, QA, RE, RO, RS, RW, SA, SB, SC, SE, SG, SH, SI, SK, SL, SM, SN, SR, ST, SV, SX, SZ, TC, TD, TG, TH, TL, TM, TN, TO, TR, TT, TV, TW, TZ, UG, US, UY, UZ, VA, V"&amp;"C, VE, VG, VN, VU, WF, WS, YT, ZA, ZM, ZW")</f>
        <v>AD, AE, AG, AI, AL, AM, AO, AR, AT, AU, AW, AZ, BA, BB, BD, BE, BF, BG, BH, BI, BJ, BL, BM, BN, BO, BR, BS, BT, BW, BZ, CA, CG, CH, CI, CK, CL, CM, CN, CO, CR, CV, CW, CY, CZ, DE, DJ, DK, DM, DO, DZ, EC, EE, EG, ES, ET, FI, FJ, FK, FO, FR, GA, GB, GD, GE, GF, GG, GH, GI, GL, GM, GN, GP, GQ, GR, GT, GW, GY, HK, HN, HR, HT, HU, ID, IE, IL, IM, IN, IS, IT, JE, JM, JO, JP, KE, KG, KH, KI, KM, KN, KR, KW, KY, KZ, LA, LB, LC, LI, LK, LR, LS, LT, LU, LV, MA, MC, MD, ME, MF, MG, MK, MN, MO, MQ, MR, MS, MT, MU, MV, MW, MX, MY, MZ, NA, NC, NG, NI, NL, NO, NP, NR, NU, NZ, OM, PA, PE, PF, PG, PH, PK, PL, PT, PY, QA, RE, RO, RS, RW, SA, SB, SC, SE, SG, SH, SI, SK, SL, SM, SN, SR, ST, SV, SX, SZ, TC, TD, TG, TH, TL, TM, TN, TO, TR, TT, TV, TW, TZ, UG, US, UY, UZ, VA, VC, VE, VG, VN, VU, WF, WS, YT, ZA, ZM, ZW</v>
      </c>
      <c r="E141" s="2" t="str">
        <f>IFERROR(__xludf.DUMMYFUNCTION("""COMPUTED_VALUE"""),"Highland Sweater - Driftwood - M")</f>
        <v>Highland Sweater - Driftwood - M</v>
      </c>
      <c r="F141" s="2" t="str">
        <f>IFERROR(__xludf.DUMMYFUNCTION("""COMPUTED_VALUE"""),"44895399182426")</f>
        <v>44895399182426</v>
      </c>
      <c r="G141" s="2">
        <f>IFERROR(__xludf.DUMMYFUNCTION("""COMPUTED_VALUE"""),148.0)</f>
        <v>148</v>
      </c>
      <c r="H141" s="2" t="str">
        <f>IFERROR(__xludf.DUMMYFUNCTION("""COMPUTED_VALUE"""),"USD")</f>
        <v>USD</v>
      </c>
      <c r="I141" s="5" t="str">
        <f>IFERROR(__xludf.DUMMYFUNCTION("""COMPUTED_VALUE"""),"https://thursdayboots.com/cart/44895399182426:1?attributes[click_id]=example_click_id")</f>
        <v>https://thursdayboots.com/cart/44895399182426:1?attributes[click_id]=example_click_id</v>
      </c>
    </row>
    <row r="142">
      <c r="A142" s="2" t="str">
        <f>IFERROR(__xludf.DUMMYFUNCTION("""COMPUTED_VALUE"""),"Toys &amp; Games")</f>
        <v>Toys &amp; Games</v>
      </c>
      <c r="B142" s="2" t="str">
        <f>IFERROR(__xludf.DUMMYFUNCTION("""COMPUTED_VALUE"""),"SG")</f>
        <v>SG</v>
      </c>
      <c r="C142" s="5" t="str">
        <f>IFERROR(__xludf.DUMMYFUNCTION("""COMPUTED_VALUE"""),"toyster.sg")</f>
        <v>toyster.sg</v>
      </c>
      <c r="D142" s="2" t="str">
        <f>IFERROR(__xludf.DUMMYFUNCTION("""COMPUTED_VALUE"""),"*, AE, AT, AU, BE, BN, BQ, CA, CH, CL, CN, DE, DK, EE, ES, FI, FR, GB, GR, HK, HR, HU, ID, IE, IL, IN, IT, JP, KR, KW, LK, LT, LU, LV, MO, MY, NL, NO, NZ, PH, PL, PT, RO, RS, RU, SA, SE, SG, SI, SK, TH, TW, US, VN")</f>
        <v>*, AE, AT, AU, BE, BN, BQ, CA, CH, CL, CN, DE, DK, EE, ES, FI, FR, GB, GR, HK, HR, HU, ID, IE, IL, IN, IT, JP, KR, KW, LK, LT, LU, LV, MO, MY, NL, NO, NZ, PH, PL, PT, RO, RS, RU, SA, SE, SG, SI, SK, TH, TW, US, VN</v>
      </c>
      <c r="E142" s="2" t="str">
        <f>IFERROR(__xludf.DUMMYFUNCTION("""COMPUTED_VALUE"""),"You Can't Say Umm - Party Game")</f>
        <v>You Can't Say Umm - Party Game</v>
      </c>
      <c r="F142" s="2" t="str">
        <f>IFERROR(__xludf.DUMMYFUNCTION("""COMPUTED_VALUE"""),"67759042822365")</f>
        <v>67759042822365</v>
      </c>
      <c r="G142" s="2">
        <f>IFERROR(__xludf.DUMMYFUNCTION("""COMPUTED_VALUE"""),39.9)</f>
        <v>39.9</v>
      </c>
      <c r="H142" s="2" t="str">
        <f>IFERROR(__xludf.DUMMYFUNCTION("""COMPUTED_VALUE"""),"SGD")</f>
        <v>SGD</v>
      </c>
      <c r="I142" s="5" t="str">
        <f>IFERROR(__xludf.DUMMYFUNCTION("""COMPUTED_VALUE"""),"https://toyster.sg/cart/67759042822365:1?attributes[click_id]=example_click_id")</f>
        <v>https://toyster.sg/cart/67759042822365:1?attributes[click_id]=example_click_id</v>
      </c>
    </row>
    <row r="143">
      <c r="A143" s="2" t="str">
        <f>IFERROR(__xludf.DUMMYFUNCTION("""COMPUTED_VALUE"""),"Home &amp; Living")</f>
        <v>Home &amp; Living</v>
      </c>
      <c r="B143" s="2" t="str">
        <f>IFERROR(__xludf.DUMMYFUNCTION("""COMPUTED_VALUE"""),"US")</f>
        <v>US</v>
      </c>
      <c r="C143" s="5" t="str">
        <f>IFERROR(__xludf.DUMMYFUNCTION("""COMPUTED_VALUE"""),"tuftandneedle.com")</f>
        <v>tuftandneedle.com</v>
      </c>
      <c r="D143" s="2" t="str">
        <f>IFERROR(__xludf.DUMMYFUNCTION("""COMPUTED_VALUE"""),"US")</f>
        <v>US</v>
      </c>
      <c r="E143" s="2" t="str">
        <f>IFERROR(__xludf.DUMMYFUNCTION("""COMPUTED_VALUE"""),"SNOOZ Go 2 Travel White Noise Machine")</f>
        <v>SNOOZ Go 2 Travel White Noise Machine</v>
      </c>
      <c r="F143" s="2" t="str">
        <f>IFERROR(__xludf.DUMMYFUNCTION("""COMPUTED_VALUE"""),"44135014465602")</f>
        <v>44135014465602</v>
      </c>
      <c r="G143" s="2">
        <f>IFERROR(__xludf.DUMMYFUNCTION("""COMPUTED_VALUE"""),60.0)</f>
        <v>60</v>
      </c>
      <c r="H143" s="2" t="str">
        <f>IFERROR(__xludf.DUMMYFUNCTION("""COMPUTED_VALUE"""),"USD")</f>
        <v>USD</v>
      </c>
      <c r="I143" s="5" t="str">
        <f>IFERROR(__xludf.DUMMYFUNCTION("""COMPUTED_VALUE"""),"https://www.tuftandneedle.com/cart/44135014465602:1?attributes[click_id]=example_click_id")</f>
        <v>https://www.tuftandneedle.com/cart/44135014465602:1?attributes[click_id]=example_click_id</v>
      </c>
    </row>
    <row r="144">
      <c r="A144" s="2" t="str">
        <f>IFERROR(__xludf.DUMMYFUNCTION("""COMPUTED_VALUE"""),"Computers &amp; Electronics")</f>
        <v>Computers &amp; Electronics</v>
      </c>
      <c r="B144" s="2" t="str">
        <f>IFERROR(__xludf.DUMMYFUNCTION("""COMPUTED_VALUE"""),"US")</f>
        <v>US</v>
      </c>
      <c r="C144" s="5" t="str">
        <f>IFERROR(__xludf.DUMMYFUNCTION("""COMPUTED_VALUE"""),"twelvesouth.com")</f>
        <v>twelvesouth.com</v>
      </c>
      <c r="D144" s="2" t="str">
        <f>IFERROR(__xludf.DUMMYFUNCTION("""COMPUTED_VALUE"""),"AD, AE, AF, AG, AI, AL, AM, AN, AO, AR, AT, AU, AW, AX, AZ, BA, BB, BD, BE, BF, BG, BH, BI, BJ, BL, BM, BN, BO, BQ, BR, BS, BT, BV, BW, BY, BZ, CA, CC, CD, CF, CG, CH, CI, CK, CL, CM, CN, CO, CR, CU, CV, CW, CX, CY, CZ, DE, DJ, DK, DM, DO, DZ, EC, EE, EG,"&amp;" EH, ER, ES, ET, FI, FJ, FK, FO, FR, GA, GB, GD, GE, GF, GG, GH, GI, GL, GM, GN, GP, GQ, GR, GS, GT, GW, GY, HK, HM, HN, HR, HT, HU, ID, IE, IL, IM, IN, IO, IQ, IR, IS, IT, JE, JM, JO, JP, KE, KG, KH, KI, KM, KN, KP, KR, KW, KY, KZ, LA, LB, LC, LI, LK, LR"&amp;", LS, LT, LU, LV, LY, MA, MC, MD, ME, MF, MG, ML, MM, MN, MO, MQ, MR, MS, MT, MU, MV, MW, MX, MY, MZ, NA, NC, NE, NF, NG, NI, NL, NO, NP, NR, NU, NZ, OM, PA, PE, PF, PG, PH, PK, PL, PM, PN, PS, PT, PY, QA, RE, RO, RS, RW, SA, SB, SC, SD, SE, SG, SH, SI, S"&amp;"J, SK, SL, SM, SN, SO, SR, SS, ST, SV, SX, SY, SZ, TC, TD, TF, TG, TH, TJ, TK, TL, TM, TN, TO, TR, TT, TV, TW, TZ, UA, UG, UM, US, UY, UZ, VA, VC, VE, VG, VN, VU, WF, WS, XK, YE, YT, ZA, ZM, ZW")</f>
        <v>AD, AE, AF, AG, AI, AL, AM, AN, AO, AR, AT, AU, AW, AX, AZ, BA, BB, BD, BE, BF, BG, BH, BI, BJ, BL, BM, BN, BO, BQ, BR, BS, BT, BV, BW, BY, BZ, CA, CC, CD, CF, CG, CH, CI, CK, CL, CM, CN, CO, CR, CU, CV, CW, CX, CY, CZ, DE, DJ, DK, DM, DO, DZ, EC, EE, EG, EH, ER, ES, ET, FI, FJ, FK, FO, FR, GA, GB, GD, GE, GF, GG, GH, GI, GL, GM, GN, GP, GQ, GR, GS, GT, GW, GY, HK, HM, HN, HR, HT, HU, ID, IE, IL, IM, IN, IO, IQ, IR, IS, IT, JE, JM, JO, JP, KE, KG, KH, KI, KM, KN, KP, KR, KW, KY, KZ, LA, LB, LC, LI, LK, LR, LS, LT, LU, LV, LY, MA, MC, MD, ME, MF, MG, ML, MM, MN, MO, MQ, MR, MS, MT, MU, MV, MW, MX, MY, MZ, NA, NC, NE, NF, NG, NI, NL, NO, NP, NR, NU, NZ, OM, PA, PE, PF, PG, PH, PK, PL, PM, PN, PS, PT, PY, QA, RE, RO, RS, RW, SA, SB, SC, SD, SE, SG, SH, SI, SJ, SK, SL, SM, SN, SO, SR, SS, ST, SV, SX, SY, SZ, TC, TD, TF, TG, TH, TJ, TK, TL, TM, TN, TO, TR, TT, TV, TW, TZ, UA, UG, UM, US, UY, UZ, VA, VC, VE, VG, VN, VU, WF, WS, XK, YE, YT, ZA, ZM, ZW</v>
      </c>
      <c r="E144" s="2" t="str">
        <f>IFERROR(__xludf.DUMMYFUNCTION("""COMPUTED_VALUE"""),"PowerBug 25W (Qi2.2) - White/Dune")</f>
        <v>PowerBug 25W (Qi2.2) - White/Dune</v>
      </c>
      <c r="F144" s="2" t="str">
        <f>IFERROR(__xludf.DUMMYFUNCTION("""COMPUTED_VALUE"""),"46441190424633")</f>
        <v>46441190424633</v>
      </c>
      <c r="G144" s="2">
        <f>IFERROR(__xludf.DUMMYFUNCTION("""COMPUTED_VALUE"""),49.99)</f>
        <v>49.99</v>
      </c>
      <c r="H144" s="2" t="str">
        <f>IFERROR(__xludf.DUMMYFUNCTION("""COMPUTED_VALUE"""),"USD")</f>
        <v>USD</v>
      </c>
      <c r="I144" s="5" t="str">
        <f>IFERROR(__xludf.DUMMYFUNCTION("""COMPUTED_VALUE"""),"https://www.twelvesouth.com/cart/46441190424633:1?attributes[click_id]=example_click_id")</f>
        <v>https://www.twelvesouth.com/cart/46441190424633:1?attributes[click_id]=example_click_id</v>
      </c>
    </row>
    <row r="145">
      <c r="A145" s="2" t="str">
        <f>IFERROR(__xludf.DUMMYFUNCTION("""COMPUTED_VALUE"""),"Computers &amp; Electronics")</f>
        <v>Computers &amp; Electronics</v>
      </c>
      <c r="B145" s="2" t="str">
        <f>IFERROR(__xludf.DUMMYFUNCTION("""COMPUTED_VALUE"""),"SG")</f>
        <v>SG</v>
      </c>
      <c r="C145" s="5" t="str">
        <f>IFERROR(__xludf.DUMMYFUNCTION("""COMPUTED_VALUE"""),"ugreen.com.sg")</f>
        <v>ugreen.com.sg</v>
      </c>
      <c r="D145" s="2" t="str">
        <f>IFERROR(__xludf.DUMMYFUNCTION("""COMPUTED_VALUE"""),"SG")</f>
        <v>SG</v>
      </c>
      <c r="E145" s="2" t="str">
        <f>IFERROR(__xludf.DUMMYFUNCTION("""COMPUTED_VALUE"""),"UGREEN Dual Mode Bluetooth + 2.4GHz Wireless Mouse 4000 DPI")</f>
        <v>UGREEN Dual Mode Bluetooth + 2.4GHz Wireless Mouse 4000 DPI</v>
      </c>
      <c r="F145" s="2" t="str">
        <f>IFERROR(__xludf.DUMMYFUNCTION("""COMPUTED_VALUE"""),"51210551099639")</f>
        <v>51210551099639</v>
      </c>
      <c r="G145" s="2">
        <f>IFERROR(__xludf.DUMMYFUNCTION("""COMPUTED_VALUE"""),32.99)</f>
        <v>32.99</v>
      </c>
      <c r="H145" s="2" t="str">
        <f>IFERROR(__xludf.DUMMYFUNCTION("""COMPUTED_VALUE"""),"SGD")</f>
        <v>SGD</v>
      </c>
      <c r="I145" s="5" t="str">
        <f>IFERROR(__xludf.DUMMYFUNCTION("""COMPUTED_VALUE"""),"https://ugreen.com.sg/cart/51210551099639:1?attributes[click_id]=example_click_id")</f>
        <v>https://ugreen.com.sg/cart/51210551099639:1?attributes[click_id]=example_click_id</v>
      </c>
    </row>
    <row r="146">
      <c r="A146" s="2" t="str">
        <f>IFERROR(__xludf.DUMMYFUNCTION("""COMPUTED_VALUE"""),"Maker &amp; DIY Electronics")</f>
        <v>Maker &amp; DIY Electronics</v>
      </c>
      <c r="B146" s="2" t="str">
        <f>IFERROR(__xludf.DUMMYFUNCTION("""COMPUTED_VALUE"""),"GB")</f>
        <v>GB</v>
      </c>
      <c r="C146" s="5" t="str">
        <f>IFERROR(__xludf.DUMMYFUNCTION("""COMPUTED_VALUE"""),"unmannedtechshop.co.uk")</f>
        <v>unmannedtechshop.co.uk</v>
      </c>
      <c r="D146" s="2" t="str">
        <f>IFERROR(__xludf.DUMMYFUNCTION("""COMPUTED_VALUE"""),"*, AE, AR, AT, AU, BE, BG, BH, BR, CA, CH, CL, CN, CY, CZ, DE, DK, EE, ES, FI, FR, GB, GG, GR, HK, HR, HU, IE, IL, IM, IN, IQ, IS, IT, JE, JP, KR, KW, LT, LU, LV, MD, MK, MT, MY, NL, NO, NZ, PL, PT, QA, RO, RS, SE, SG, SI, SK, TR, UA, US, VN, ZA, ZW")</f>
        <v>*, AE, AR, AT, AU, BE, BG, BH, BR, CA, CH, CL, CN, CY, CZ, DE, DK, EE, ES, FI, FR, GB, GG, GR, HK, HR, HU, IE, IL, IM, IN, IQ, IS, IT, JE, JP, KR, KW, LT, LU, LV, MD, MK, MT, MY, NL, NO, NZ, PL, PT, QA, RO, RS, SE, SG, SI, SK, TR, UA, US, VN, ZA, ZW</v>
      </c>
      <c r="E146" s="2" t="str">
        <f>IFERROR(__xludf.DUMMYFUNCTION("""COMPUTED_VALUE"""),"Happymodel RS1102 10000KV Brushless Motor")</f>
        <v>Happymodel RS1102 10000KV Brushless Motor</v>
      </c>
      <c r="F146" s="2" t="str">
        <f>IFERROR(__xludf.DUMMYFUNCTION("""COMPUTED_VALUE"""),"58239463883133")</f>
        <v>58239463883133</v>
      </c>
      <c r="G146" s="2">
        <f>IFERROR(__xludf.DUMMYFUNCTION("""COMPUTED_VALUE"""),5.99)</f>
        <v>5.99</v>
      </c>
      <c r="H146" s="2" t="str">
        <f>IFERROR(__xludf.DUMMYFUNCTION("""COMPUTED_VALUE"""),"GBP")</f>
        <v>GBP</v>
      </c>
      <c r="I146" s="5" t="str">
        <f>IFERROR(__xludf.DUMMYFUNCTION("""COMPUTED_VALUE"""),"https://www.unmannedtechshop.co.uk/cart/58239463883133:1?attributes[click_id]=example_click_id")</f>
        <v>https://www.unmannedtechshop.co.uk/cart/58239463883133:1?attributes[click_id]=example_click_id</v>
      </c>
    </row>
    <row r="147">
      <c r="A147" s="2" t="str">
        <f>IFERROR(__xludf.DUMMYFUNCTION("""COMPUTED_VALUE"""),"Computers &amp; Electronics")</f>
        <v>Computers &amp; Electronics</v>
      </c>
      <c r="B147" s="2" t="str">
        <f>IFERROR(__xludf.DUMMYFUNCTION("""COMPUTED_VALUE"""),"HK")</f>
        <v>HK</v>
      </c>
      <c r="C147" s="5" t="str">
        <f>IFERROR(__xludf.DUMMYFUNCTION("""COMPUTED_VALUE"""),"uperfect.com")</f>
        <v>uperfect.com</v>
      </c>
      <c r="D147" s="2" t="str">
        <f>IFERROR(__xludf.DUMMYFUNCTION("""COMPUTED_VALUE"""),"AE, AT, AU, BE, BG, CA, CH, CN, CY, CZ, DE, DK, EE, ES, FI, FR, GB, GR, HK, HR, HU, ID, IE, IT, JP, KR, LT, LU, LV, MT, MX, MY, NL, NO, NZ, PH, PL, PT, RO, RS, RU, SA, SE, SG, SI, SK, TH, US")</f>
        <v>AE, AT, AU, BE, BG, CA, CH, CN, CY, CZ, DE, DK, EE, ES, FI, FR, GB, GR, HK, HR, HU, ID, IE, IT, JP, KR, LT, LU, LV, MT, MX, MY, NL, NO, NZ, PH, PL, PT, RO, RS, RU, SA, SE, SG, SI, SK, TH, US</v>
      </c>
      <c r="E147" s="2" t="str">
        <f>IFERROR(__xludf.DUMMYFUNCTION("""COMPUTED_VALUE"""),"BE185GF 18.5in 1080P Wireless Touchscreen Portable Monitor")</f>
        <v>BE185GF 18.5in 1080P Wireless Touchscreen Portable Monitor</v>
      </c>
      <c r="F147" s="2" t="str">
        <f>IFERROR(__xludf.DUMMYFUNCTION("""COMPUTED_VALUE"""),"41308987621448")</f>
        <v>41308987621448</v>
      </c>
      <c r="G147" s="2">
        <f>IFERROR(__xludf.DUMMYFUNCTION("""COMPUTED_VALUE"""),299.99)</f>
        <v>299.99</v>
      </c>
      <c r="H147" s="2" t="str">
        <f>IFERROR(__xludf.DUMMYFUNCTION("""COMPUTED_VALUE"""),"USD")</f>
        <v>USD</v>
      </c>
      <c r="I147" s="5" t="str">
        <f>IFERROR(__xludf.DUMMYFUNCTION("""COMPUTED_VALUE"""),"https://uperfect.com/cart/41308987621448:1?attributes[click_id]=example_click_id")</f>
        <v>https://uperfect.com/cart/41308987621448:1?attributes[click_id]=example_click_id</v>
      </c>
    </row>
    <row r="148">
      <c r="A148" s="2" t="str">
        <f>IFERROR(__xludf.DUMMYFUNCTION("""COMPUTED_VALUE"""),"Computers &amp; Electronics")</f>
        <v>Computers &amp; Electronics</v>
      </c>
      <c r="B148" s="2" t="str">
        <f>IFERROR(__xludf.DUMMYFUNCTION("""COMPUTED_VALUE"""),"SE")</f>
        <v>SE</v>
      </c>
      <c r="C148" s="5" t="str">
        <f>IFERROR(__xludf.DUMMYFUNCTION("""COMPUTED_VALUE"""),"wakegamingpad.com")</f>
        <v>wakegamingpad.com</v>
      </c>
      <c r="D148" s="2" t="str">
        <f>IFERROR(__xludf.DUMMYFUNCTION("""COMPUTED_VALUE"""),"AT, BE, CZ, DE, DK, EE, ES, FI, FR, LT, LU, LV, NL, PL, SE, SK")</f>
        <v>AT, BE, CZ, DE, DK, EE, ES, FI, FR, LT, LU, LV, NL, PL, SE, SK</v>
      </c>
      <c r="E148" s="2" t="str">
        <f>IFERROR(__xludf.DUMMYFUNCTION("""COMPUTED_VALUE"""),"Liquid Red Gaming Mousepad XL")</f>
        <v>Liquid Red Gaming Mousepad XL</v>
      </c>
      <c r="F148" s="2" t="str">
        <f>IFERROR(__xludf.DUMMYFUNCTION("""COMPUTED_VALUE"""),"46947546726749")</f>
        <v>46947546726749</v>
      </c>
      <c r="G148" s="2">
        <f>IFERROR(__xludf.DUMMYFUNCTION("""COMPUTED_VALUE"""),399.0)</f>
        <v>399</v>
      </c>
      <c r="H148" s="2" t="str">
        <f>IFERROR(__xludf.DUMMYFUNCTION("""COMPUTED_VALUE"""),"SEK")</f>
        <v>SEK</v>
      </c>
      <c r="I148" s="5" t="str">
        <f>IFERROR(__xludf.DUMMYFUNCTION("""COMPUTED_VALUE"""),"https://wakegamingpad.com/cart/46947546726749:1?attributes[click_id]=example_click_id")</f>
        <v>https://wakegamingpad.com/cart/46947546726749:1?attributes[click_id]=example_click_id</v>
      </c>
    </row>
    <row r="149">
      <c r="A149" s="2" t="str">
        <f>IFERROR(__xludf.DUMMYFUNCTION("""COMPUTED_VALUE"""),"Pets")</f>
        <v>Pets</v>
      </c>
      <c r="B149" s="2" t="str">
        <f>IFERROR(__xludf.DUMMYFUNCTION("""COMPUTED_VALUE"""),"US")</f>
        <v>US</v>
      </c>
      <c r="C149" s="5" t="str">
        <f>IFERROR(__xludf.DUMMYFUNCTION("""COMPUTED_VALUE"""),"wildone.com")</f>
        <v>wildone.com</v>
      </c>
      <c r="D149" s="2" t="str">
        <f>IFERROR(__xludf.DUMMYFUNCTION("""COMPUTED_VALUE"""),"AD, AE, AF, AG, AI, AL, AM, AO, AR, AT, AU, AW, AX, AZ, BA, BB, BD, BE, BF, BG, BH, BI, BJ, BL, BM, BN, BO, BQ, BS, BT, BW, BY, BZ, CA, CC, CH, CI, CK, CL, CM, CN, CO, CR, CV, CW, CX, CY, CZ, DE, DJ, DK, DM, DO, DZ, EC, EE, EG, EH, ER, ES, ET, FI, FJ, FK,"&amp;" FO, FR, GA, GB, GD, GE, GF, GG, GH, GI, GL, GM, GN, GP, GQ, GR, GT, GW, GY, HK, HN, HR, HT, HU, ID, IE, IL, IM, IN, IO, IQ, IS, IT, JE, JM, JO, JP, KE, KG, KH, KI, KM, KN, KR, KW, KY, KZ, LA, LB, LC, LI, LK, LR, LS, LT, LU, LV, LY, MA, MC, MD, ME, MF, MG"&amp;", MK, ML, MM, MN, MO, MQ, MR, MS, MT, MU, MV, MW, MX, MY, MZ, NA, NE, NF, NI, NL, NO, NP, NR, NU, NZ, OM, PA, PE, PF, PH, PK, PL, PM, PN, PS, PT, PY, QA, RE, RO, RS, RW, SB, SC, SE, SG, SH, SI, SJ, SK, SM, SN, SR, ST, SV, SX, SZ, TC, TD, TG, TH, TJ, TK, T"&amp;"L, TM, TN, TO, TR, TT, TV, TW, TZ, UA, UG, UM, US, UY, UZ, VA, VC, VG, VN, VU, WF, WS, XK, YE, YT, ZA, ZM, ZW")</f>
        <v>AD, AE, AF, AG, AI, AL, AM, AO, AR, AT, AU, AW, AX, AZ, BA, BB, BD, BE, BF, BG, BH, BI, BJ, BL, BM, BN, BO, BQ, BS, BT, BW, BY, BZ, CA, CC, CH, CI, CK, CL, CM, CN, CO, CR, CV, CW, CX, CY, CZ, DE, DJ, DK, DM, DO, DZ, EC, EE, EG, EH, ER, ES, ET, FI, FJ, FK, FO, FR, GA, GB, GD, GE, GF, GG, GH, GI, GL, GM, GN, GP, GQ, GR, GT, GW, GY, HK, HN, HR, HT, HU, ID, IE, IL, IM, IN, IO, IQ, IS, IT, JE, JM, JO, JP, KE, KG, KH, KI, KM, KN, KR, KW, KY, KZ, LA, LB, LC, LI, LK, LR, LS, LT, LU, LV, LY, MA, MC, MD, ME, MF, MG, MK, ML, MM, MN, MO, MQ, MR, MS, MT, MU, MV, MW, MX, MY, MZ, NA, NE, NF, NI, NL, NO, NP, NR, NU, NZ, OM, PA, PE, PF, PH, PK, PL, PM, PN, PS, PT, PY, QA, RE, RO, RS, RW, SB, SC, SE, SG, SH, SI, SJ, SK, SM, SN, SR, ST, SV, SX, SZ, TC, TD, TG, TH, TJ, TK, TL, TM, TN, TO, TR, TT, TV, TW, TZ, UA, UG, UM, US, UY, UZ, VA, VC, VG, VN, VU, WF, WS, XK, YE, YT, ZA, ZM, ZW</v>
      </c>
      <c r="E149" s="2" t="str">
        <f>IFERROR(__xludf.DUMMYFUNCTION("""COMPUTED_VALUE"""),"Cat Slow Feeder - Lilac")</f>
        <v>Cat Slow Feeder - Lilac</v>
      </c>
      <c r="F149" s="2" t="str">
        <f>IFERROR(__xludf.DUMMYFUNCTION("""COMPUTED_VALUE"""),"45163409539267")</f>
        <v>45163409539267</v>
      </c>
      <c r="G149" s="2">
        <f>IFERROR(__xludf.DUMMYFUNCTION("""COMPUTED_VALUE"""),12.0)</f>
        <v>12</v>
      </c>
      <c r="H149" s="2" t="str">
        <f>IFERROR(__xludf.DUMMYFUNCTION("""COMPUTED_VALUE"""),"USD")</f>
        <v>USD</v>
      </c>
      <c r="I149" s="5" t="str">
        <f>IFERROR(__xludf.DUMMYFUNCTION("""COMPUTED_VALUE"""),"https://wildone.com/cart/45163409539267:1?attributes[click_id]=example_click_id")</f>
        <v>https://wildone.com/cart/45163409539267:1?attributes[click_id]=example_click_id</v>
      </c>
    </row>
    <row r="150">
      <c r="A150" s="2" t="str">
        <f>IFERROR(__xludf.DUMMYFUNCTION("""COMPUTED_VALUE"""),"Gifts &amp; Flowers")</f>
        <v>Gifts &amp; Flowers</v>
      </c>
      <c r="B150" s="2" t="str">
        <f>IFERROR(__xludf.DUMMYFUNCTION("""COMPUTED_VALUE"""),"SG")</f>
        <v>SG</v>
      </c>
      <c r="C150" s="5" t="str">
        <f>IFERROR(__xludf.DUMMYFUNCTION("""COMPUTED_VALUE"""),"windflowerflorist.com")</f>
        <v>windflowerflorist.com</v>
      </c>
      <c r="D150" s="2" t="str">
        <f>IFERROR(__xludf.DUMMYFUNCTION("""COMPUTED_VALUE"""),"SG")</f>
        <v>SG</v>
      </c>
      <c r="E150" s="2" t="str">
        <f>IFERROR(__xludf.DUMMYFUNCTION("""COMPUTED_VALUE"""),"Bonbon - Standard")</f>
        <v>Bonbon - Standard</v>
      </c>
      <c r="F150" s="2" t="str">
        <f>IFERROR(__xludf.DUMMYFUNCTION("""COMPUTED_VALUE"""),"54393308676320")</f>
        <v>54393308676320</v>
      </c>
      <c r="G150" s="2">
        <f>IFERROR(__xludf.DUMMYFUNCTION("""COMPUTED_VALUE"""),85.0)</f>
        <v>85</v>
      </c>
      <c r="H150" s="2" t="str">
        <f>IFERROR(__xludf.DUMMYFUNCTION("""COMPUTED_VALUE"""),"SGD")</f>
        <v>SGD</v>
      </c>
      <c r="I150" s="5" t="str">
        <f>IFERROR(__xludf.DUMMYFUNCTION("""COMPUTED_VALUE"""),"https://windflowerflorist.com/cart/54393308676320:1?attributes[click_id]=example_click_id")</f>
        <v>https://windflowerflorist.com/cart/54393308676320:1?attributes[click_id]=example_click_id</v>
      </c>
    </row>
    <row r="151">
      <c r="A151" s="2" t="str">
        <f>IFERROR(__xludf.DUMMYFUNCTION("""COMPUTED_VALUE"""),"Footwear &amp; Bags")</f>
        <v>Footwear &amp; Bags</v>
      </c>
      <c r="B151" s="2" t="str">
        <f>IFERROR(__xludf.DUMMYFUNCTION("""COMPUTED_VALUE"""),"SG")</f>
        <v>SG</v>
      </c>
      <c r="C151" s="5" t="str">
        <f>IFERROR(__xludf.DUMMYFUNCTION("""COMPUTED_VALUE"""),"worldpolo.sg")</f>
        <v>worldpolo.sg</v>
      </c>
      <c r="D151" s="2" t="str">
        <f>IFERROR(__xludf.DUMMYFUNCTION("""COMPUTED_VALUE"""),"SG")</f>
        <v>SG</v>
      </c>
      <c r="E151" s="2" t="str">
        <f>IFERROR(__xludf.DUMMYFUNCTION("""COMPUTED_VALUE"""),"Heavy Duty Luggage - Cinnamon / 20inch (cabin size)")</f>
        <v>Heavy Duty Luggage - Cinnamon / 20inch (cabin size)</v>
      </c>
      <c r="F151" s="2" t="str">
        <f>IFERROR(__xludf.DUMMYFUNCTION("""COMPUTED_VALUE"""),"46944435503330")</f>
        <v>46944435503330</v>
      </c>
      <c r="G151" s="2">
        <f>IFERROR(__xludf.DUMMYFUNCTION("""COMPUTED_VALUE"""),45.9)</f>
        <v>45.9</v>
      </c>
      <c r="H151" s="2" t="str">
        <f>IFERROR(__xludf.DUMMYFUNCTION("""COMPUTED_VALUE"""),"SGD")</f>
        <v>SGD</v>
      </c>
      <c r="I151" s="5" t="str">
        <f>IFERROR(__xludf.DUMMYFUNCTION("""COMPUTED_VALUE"""),"https://worldpolo.sg/cart/46944435503330:1?attributes[click_id]=example_click_id")</f>
        <v>https://worldpolo.sg/cart/46944435503330:1?attributes[click_id]=example_click_id</v>
      </c>
    </row>
    <row r="152">
      <c r="A152" s="2" t="str">
        <f>IFERROR(__xludf.DUMMYFUNCTION("""COMPUTED_VALUE"""),"Grocery &amp; Pantry")</f>
        <v>Grocery &amp; Pantry</v>
      </c>
      <c r="B152" s="2" t="str">
        <f>IFERROR(__xludf.DUMMYFUNCTION("""COMPUTED_VALUE"""),"SG")</f>
        <v>SG</v>
      </c>
      <c r="C152" s="5" t="str">
        <f>IFERROR(__xludf.DUMMYFUNCTION("""COMPUTED_VALUE"""),"zenxin.com.sg")</f>
        <v>zenxin.com.sg</v>
      </c>
      <c r="D152" s="2" t="str">
        <f>IFERROR(__xludf.DUMMYFUNCTION("""COMPUTED_VALUE"""),"*, SG")</f>
        <v>*, SG</v>
      </c>
      <c r="E152" s="2" t="str">
        <f>IFERROR(__xludf.DUMMYFUNCTION("""COMPUTED_VALUE"""),"[FRESH] Organic English Cabbage Malaysia 1pc")</f>
        <v>[FRESH] Organic English Cabbage Malaysia 1pc</v>
      </c>
      <c r="F152" s="2" t="str">
        <f>IFERROR(__xludf.DUMMYFUNCTION("""COMPUTED_VALUE"""),"46094659453157")</f>
        <v>46094659453157</v>
      </c>
      <c r="G152" s="2">
        <f>IFERROR(__xludf.DUMMYFUNCTION("""COMPUTED_VALUE"""),3.3)</f>
        <v>3.3</v>
      </c>
      <c r="H152" s="2" t="str">
        <f>IFERROR(__xludf.DUMMYFUNCTION("""COMPUTED_VALUE"""),"SGD")</f>
        <v>SGD</v>
      </c>
      <c r="I152" s="5" t="str">
        <f>IFERROR(__xludf.DUMMYFUNCTION("""COMPUTED_VALUE"""),"https://zenxin.com.sg/cart/46094659453157:1?attributes[click_id]=example_click_id")</f>
        <v>https://zenxin.com.sg/cart/46094659453157:1?attributes[click_id]=example_click_id</v>
      </c>
    </row>
    <row r="153">
      <c r="A153" s="2" t="str">
        <f>IFERROR(__xludf.DUMMYFUNCTION("""COMPUTED_VALUE"""),"Office &amp; Business Supplies")</f>
        <v>Office &amp; Business Supplies</v>
      </c>
      <c r="B153" s="2" t="str">
        <f>IFERROR(__xludf.DUMMYFUNCTION("""COMPUTED_VALUE"""),"GB")</f>
        <v>GB</v>
      </c>
      <c r="C153" s="5" t="str">
        <f>IFERROR(__xludf.DUMMYFUNCTION("""COMPUTED_VALUE"""),"zmdesktop.com")</f>
        <v>zmdesktop.com</v>
      </c>
      <c r="D153" s="2" t="str">
        <f>IFERROR(__xludf.DUMMYFUNCTION("""COMPUTED_VALUE"""),"AD, AE, AF, AG, AI, AL, AM, AR, AT, AU, AW, AX, AZ, BA, BB, BD, BE, BG, BH, BL, BM, BN, BO, BQ, BR, BS, BT, BY, BZ, CA, CC, CH, CK, CL, CN, CO, CR, CW, CX, CY, CZ, DE, DK, DM, DO, EC, EE, ES, FI, FJ, FK, FO, FR, GB, GD, GE, GF, GG, GI, GL, GP, GR, GS, GT,"&amp;" GY, HK, HN, HR, HT, HU, ID, IE, IL, IM, IN, IQ, IS, IT, JE, JM, JO, JP, KG, KH, KI, KN, KR, KW, KY, KZ, LA, LB, LC, LI, LK, LT, LU, LV, MC, MD, ME, MF, MK, MM, MN, MO, MQ, MS, MT, MV, MX, MY, NC, NF, NI, NL, NO, NP, NR, NU, NZ, OM, PA, PE, PF, PG, PH, PK"&amp;", PL, PM, PN, PS, PT, PY, QA, RO, RS, RU, SA, SB, SE, SG, SI, SJ, SK, SM, SR, SV, SX, TC, TH, TJ, TK, TL, TM, TO, TR, TT, TV, TW, UA, US, UY, UZ, VA, VC, VE, VG, VN, VU, WF, WS, XK, YE, ZA")</f>
        <v>AD, AE, AF, AG, AI, AL, AM, AR, AT, AU, AW, AX, AZ, BA, BB, BD, BE, BG, BH, BL, BM, BN, BO, BQ, BR, BS, BT, BY, BZ, CA, CC, CH, CK, CL, CN, CO, CR, CW, CX, CY, CZ, DE, DK, DM, DO, EC, EE, ES, FI, FJ, FK, FO, FR, GB, GD, GE, GF, GG, GI, GL, GP, GR, GS, GT, GY, HK, HN, HR, HT, HU, ID, IE, IL, IM, IN, IQ, IS, IT, JE, JM, JO, JP, KG, KH, KI, KN, KR, KW, KY, KZ, LA, LB, LC, LI, LK, LT, LU, LV, MC, MD, ME, MF, MK, MM, MN, MO, MQ, MS, MT, MV, MX, MY, NC, NF, NI, NL, NO, NP, NR, NU, NZ, OM, PA, PE, PF, PG, PH, PK, PL, PM, PN, PS, PT, PY, QA, RO, RS, RU, SA, SB, SE, SG, SI, SJ, SK, SM, SR, SV, SX, TC, TH, TJ, TK, TL, TM, TO, TR, TT, TV, TW, UA, US, UY, UZ, VA, VC, VE, VG, VN, VU, WF, WS, XK, YE, ZA</v>
      </c>
      <c r="E153" s="2" t="str">
        <f>IFERROR(__xludf.DUMMYFUNCTION("""COMPUTED_VALUE"""),"Modular Space-Saving Laptop Stand (2025) - Black Walnut")</f>
        <v>Modular Space-Saving Laptop Stand (2025) - Black Walnut</v>
      </c>
      <c r="F153" s="2" t="str">
        <f>IFERROR(__xludf.DUMMYFUNCTION("""COMPUTED_VALUE"""),"46304562970868")</f>
        <v>46304562970868</v>
      </c>
      <c r="G153" s="2">
        <f>IFERROR(__xludf.DUMMYFUNCTION("""COMPUTED_VALUE"""),58.0)</f>
        <v>58</v>
      </c>
      <c r="H153" s="2" t="str">
        <f>IFERROR(__xludf.DUMMYFUNCTION("""COMPUTED_VALUE"""),"USD")</f>
        <v>USD</v>
      </c>
      <c r="I153" s="5" t="str">
        <f>IFERROR(__xludf.DUMMYFUNCTION("""COMPUTED_VALUE"""),"https://zmdesktop.com/cart/46304562970868:1?attributes[click_id]=example_click_id")</f>
        <v>https://zmdesktop.com/cart/46304562970868:1?attributes[click_id]=example_click_id</v>
      </c>
    </row>
  </sheetData>
  <autoFilter ref="$A$1:$A$973"/>
  <hyperlinks>
    <hyperlink r:id="rId1" ref="C2"/>
    <hyperlink r:id="rId2" ref="I2"/>
    <hyperlink r:id="rId3" ref="C3"/>
    <hyperlink r:id="rId4" ref="I3"/>
    <hyperlink r:id="rId5" ref="C4"/>
    <hyperlink r:id="rId6" ref="I4"/>
    <hyperlink r:id="rId7" ref="C5"/>
    <hyperlink r:id="rId8" ref="I5"/>
    <hyperlink r:id="rId9" ref="C6"/>
    <hyperlink r:id="rId10" ref="I6"/>
    <hyperlink r:id="rId11" ref="C7"/>
    <hyperlink r:id="rId12" ref="I7"/>
    <hyperlink r:id="rId13" ref="C8"/>
    <hyperlink r:id="rId14" ref="I8"/>
    <hyperlink r:id="rId15" ref="C9"/>
    <hyperlink r:id="rId16" ref="I9"/>
    <hyperlink r:id="rId17" ref="C10"/>
    <hyperlink r:id="rId18" ref="I10"/>
    <hyperlink r:id="rId19" ref="C11"/>
    <hyperlink r:id="rId20" ref="I11"/>
    <hyperlink r:id="rId21" ref="C12"/>
    <hyperlink r:id="rId22" ref="I12"/>
    <hyperlink r:id="rId23" ref="C13"/>
    <hyperlink r:id="rId24" ref="I13"/>
    <hyperlink r:id="rId25" ref="C14"/>
    <hyperlink r:id="rId26" ref="I14"/>
    <hyperlink r:id="rId27" ref="C15"/>
    <hyperlink r:id="rId28" ref="I15"/>
    <hyperlink r:id="rId29" ref="C16"/>
    <hyperlink r:id="rId30" ref="I16"/>
    <hyperlink r:id="rId31" ref="C17"/>
    <hyperlink r:id="rId32" ref="I17"/>
    <hyperlink r:id="rId33" ref="C18"/>
    <hyperlink r:id="rId34" ref="I18"/>
    <hyperlink r:id="rId35" ref="C19"/>
    <hyperlink r:id="rId36" ref="I19"/>
    <hyperlink r:id="rId37" ref="C20"/>
    <hyperlink r:id="rId38" ref="I20"/>
    <hyperlink r:id="rId39" ref="C21"/>
    <hyperlink r:id="rId40" ref="I21"/>
    <hyperlink r:id="rId41" ref="C22"/>
    <hyperlink r:id="rId42" ref="I22"/>
    <hyperlink r:id="rId43" ref="C23"/>
    <hyperlink r:id="rId44" ref="I23"/>
    <hyperlink r:id="rId45" ref="C24"/>
    <hyperlink r:id="rId46" ref="I24"/>
    <hyperlink r:id="rId47" ref="C25"/>
    <hyperlink r:id="rId48" ref="I25"/>
    <hyperlink r:id="rId49" ref="C26"/>
    <hyperlink r:id="rId50" ref="I26"/>
    <hyperlink r:id="rId51" ref="C27"/>
    <hyperlink r:id="rId52" ref="I27"/>
    <hyperlink r:id="rId53" ref="C28"/>
    <hyperlink r:id="rId54" ref="I28"/>
    <hyperlink r:id="rId55" ref="C29"/>
    <hyperlink r:id="rId56" ref="I29"/>
    <hyperlink r:id="rId57" ref="C30"/>
    <hyperlink r:id="rId58" ref="I30"/>
    <hyperlink r:id="rId59" ref="C31"/>
    <hyperlink r:id="rId60" ref="I31"/>
    <hyperlink r:id="rId61" ref="C32"/>
    <hyperlink r:id="rId62" ref="I32"/>
    <hyperlink r:id="rId63" ref="C33"/>
    <hyperlink r:id="rId64" ref="I33"/>
    <hyperlink r:id="rId65" ref="C34"/>
    <hyperlink r:id="rId66" ref="I34"/>
    <hyperlink r:id="rId67" ref="C35"/>
    <hyperlink r:id="rId68" ref="I35"/>
    <hyperlink r:id="rId69" ref="C36"/>
    <hyperlink r:id="rId70" ref="I36"/>
    <hyperlink r:id="rId71" ref="C37"/>
    <hyperlink r:id="rId72" ref="I37"/>
    <hyperlink r:id="rId73" ref="C38"/>
    <hyperlink r:id="rId74" ref="I38"/>
    <hyperlink r:id="rId75" ref="C39"/>
    <hyperlink r:id="rId76" ref="I39"/>
    <hyperlink r:id="rId77" ref="C40"/>
    <hyperlink r:id="rId78" ref="I40"/>
    <hyperlink r:id="rId79" ref="C41"/>
    <hyperlink r:id="rId80" ref="I41"/>
    <hyperlink r:id="rId81" ref="C42"/>
    <hyperlink r:id="rId82" ref="I42"/>
    <hyperlink r:id="rId83" ref="C43"/>
    <hyperlink r:id="rId84" ref="I43"/>
    <hyperlink r:id="rId85" ref="C44"/>
    <hyperlink r:id="rId86" ref="I44"/>
    <hyperlink r:id="rId87" ref="C45"/>
    <hyperlink r:id="rId88" ref="I45"/>
    <hyperlink r:id="rId89" ref="C46"/>
    <hyperlink r:id="rId90" ref="I46"/>
    <hyperlink r:id="rId91" ref="C47"/>
    <hyperlink r:id="rId92" ref="I47"/>
    <hyperlink r:id="rId93" ref="C48"/>
    <hyperlink r:id="rId94" ref="I48"/>
    <hyperlink r:id="rId95" ref="C49"/>
    <hyperlink r:id="rId96" ref="I49"/>
    <hyperlink r:id="rId97" ref="C50"/>
    <hyperlink r:id="rId98" ref="I50"/>
    <hyperlink r:id="rId99" ref="C51"/>
    <hyperlink r:id="rId100" ref="I51"/>
    <hyperlink r:id="rId101" ref="C52"/>
    <hyperlink r:id="rId102" ref="I52"/>
    <hyperlink r:id="rId103" ref="C53"/>
    <hyperlink r:id="rId104" ref="I53"/>
    <hyperlink r:id="rId105" ref="C54"/>
    <hyperlink r:id="rId106" ref="I54"/>
    <hyperlink r:id="rId107" ref="C55"/>
    <hyperlink r:id="rId108" ref="I55"/>
    <hyperlink r:id="rId109" ref="C56"/>
    <hyperlink r:id="rId110" ref="I56"/>
    <hyperlink r:id="rId111" ref="C57"/>
    <hyperlink r:id="rId112" ref="I57"/>
    <hyperlink r:id="rId113" ref="C58"/>
    <hyperlink r:id="rId114" ref="I58"/>
    <hyperlink r:id="rId115" ref="C59"/>
    <hyperlink r:id="rId116" ref="I59"/>
    <hyperlink r:id="rId117" ref="C60"/>
    <hyperlink r:id="rId118" ref="I60"/>
    <hyperlink r:id="rId119" ref="C61"/>
    <hyperlink r:id="rId120" ref="I61"/>
    <hyperlink r:id="rId121" ref="C62"/>
    <hyperlink r:id="rId122" ref="I62"/>
    <hyperlink r:id="rId123" ref="C63"/>
    <hyperlink r:id="rId124" ref="I63"/>
    <hyperlink r:id="rId125" ref="C64"/>
    <hyperlink r:id="rId126" ref="I64"/>
    <hyperlink r:id="rId127" ref="C65"/>
    <hyperlink r:id="rId128" ref="I65"/>
    <hyperlink r:id="rId129" ref="C66"/>
    <hyperlink r:id="rId130" ref="I66"/>
    <hyperlink r:id="rId131" ref="C67"/>
    <hyperlink r:id="rId132" ref="I67"/>
    <hyperlink r:id="rId133" ref="C68"/>
    <hyperlink r:id="rId134" ref="I68"/>
    <hyperlink r:id="rId135" ref="C69"/>
    <hyperlink r:id="rId136" ref="I69"/>
    <hyperlink r:id="rId137" ref="I70"/>
    <hyperlink r:id="rId138" ref="C71"/>
    <hyperlink r:id="rId139" ref="I71"/>
    <hyperlink r:id="rId140" ref="C72"/>
    <hyperlink r:id="rId141" ref="I72"/>
    <hyperlink r:id="rId142" ref="C73"/>
    <hyperlink r:id="rId143" ref="I73"/>
    <hyperlink r:id="rId144" ref="C74"/>
    <hyperlink r:id="rId145" ref="I74"/>
    <hyperlink r:id="rId146" ref="C75"/>
    <hyperlink r:id="rId147" ref="I75"/>
    <hyperlink r:id="rId148" ref="C76"/>
    <hyperlink r:id="rId149" ref="I76"/>
    <hyperlink r:id="rId150" ref="C77"/>
    <hyperlink r:id="rId151" ref="I77"/>
    <hyperlink r:id="rId152" ref="C78"/>
    <hyperlink r:id="rId153" ref="I78"/>
    <hyperlink r:id="rId154" ref="C79"/>
    <hyperlink r:id="rId155" ref="I79"/>
    <hyperlink r:id="rId156" ref="C80"/>
    <hyperlink r:id="rId157" ref="I80"/>
    <hyperlink r:id="rId158" ref="C81"/>
    <hyperlink r:id="rId159" ref="I81"/>
    <hyperlink r:id="rId160" ref="C82"/>
    <hyperlink r:id="rId161" ref="I82"/>
    <hyperlink r:id="rId162" ref="C83"/>
    <hyperlink r:id="rId163" ref="I83"/>
    <hyperlink r:id="rId164" ref="C84"/>
    <hyperlink r:id="rId165" ref="I84"/>
    <hyperlink r:id="rId166" ref="C85"/>
    <hyperlink r:id="rId167" ref="I85"/>
    <hyperlink r:id="rId168" ref="C86"/>
    <hyperlink r:id="rId169" ref="I86"/>
    <hyperlink r:id="rId170" ref="C87"/>
    <hyperlink r:id="rId171" ref="I87"/>
    <hyperlink r:id="rId172" ref="C88"/>
    <hyperlink r:id="rId173" ref="I88"/>
    <hyperlink r:id="rId174" ref="C89"/>
    <hyperlink r:id="rId175" ref="I89"/>
    <hyperlink r:id="rId176" ref="C90"/>
    <hyperlink r:id="rId177" ref="I90"/>
    <hyperlink r:id="rId178" ref="C91"/>
    <hyperlink r:id="rId179" ref="I91"/>
    <hyperlink r:id="rId180" ref="C92"/>
    <hyperlink r:id="rId181" ref="I92"/>
    <hyperlink r:id="rId182" ref="C93"/>
    <hyperlink r:id="rId183" ref="I93"/>
    <hyperlink r:id="rId184" ref="C94"/>
    <hyperlink r:id="rId185" ref="I94"/>
    <hyperlink r:id="rId186" ref="C95"/>
    <hyperlink r:id="rId187" ref="I95"/>
    <hyperlink r:id="rId188" ref="C96"/>
    <hyperlink r:id="rId189" ref="I96"/>
    <hyperlink r:id="rId190" ref="C97"/>
    <hyperlink r:id="rId191" ref="I97"/>
    <hyperlink r:id="rId192" ref="C98"/>
    <hyperlink r:id="rId193" ref="I98"/>
    <hyperlink r:id="rId194" ref="C99"/>
    <hyperlink r:id="rId195" ref="I99"/>
    <hyperlink r:id="rId196" ref="C100"/>
    <hyperlink r:id="rId197" ref="I100"/>
    <hyperlink r:id="rId198" ref="C101"/>
    <hyperlink r:id="rId199" ref="I101"/>
    <hyperlink r:id="rId200" ref="C102"/>
    <hyperlink r:id="rId201" ref="I102"/>
    <hyperlink r:id="rId202" ref="C103"/>
    <hyperlink r:id="rId203" ref="I103"/>
    <hyperlink r:id="rId204" ref="C104"/>
    <hyperlink r:id="rId205" ref="I104"/>
    <hyperlink r:id="rId206" ref="C105"/>
    <hyperlink r:id="rId207" ref="I105"/>
    <hyperlink r:id="rId208" ref="C106"/>
    <hyperlink r:id="rId209" ref="I106"/>
    <hyperlink r:id="rId210" ref="C107"/>
    <hyperlink r:id="rId211" ref="I107"/>
    <hyperlink r:id="rId212" ref="C108"/>
    <hyperlink r:id="rId213" ref="I108"/>
    <hyperlink r:id="rId214" ref="C109"/>
    <hyperlink r:id="rId215" ref="I109"/>
    <hyperlink r:id="rId216" ref="C110"/>
    <hyperlink r:id="rId217" ref="I110"/>
    <hyperlink r:id="rId218" ref="C111"/>
    <hyperlink r:id="rId219" ref="I111"/>
    <hyperlink r:id="rId220" ref="C112"/>
    <hyperlink r:id="rId221" ref="I112"/>
    <hyperlink r:id="rId222" ref="C113"/>
    <hyperlink r:id="rId223" ref="I113"/>
    <hyperlink r:id="rId224" ref="C114"/>
    <hyperlink r:id="rId225" ref="I114"/>
    <hyperlink r:id="rId226" ref="C115"/>
    <hyperlink r:id="rId227" ref="I115"/>
    <hyperlink r:id="rId228" ref="C116"/>
    <hyperlink r:id="rId229" ref="I116"/>
    <hyperlink r:id="rId230" ref="C117"/>
    <hyperlink r:id="rId231" ref="I117"/>
    <hyperlink r:id="rId232" ref="C118"/>
    <hyperlink r:id="rId233" ref="I118"/>
    <hyperlink r:id="rId234" ref="C119"/>
    <hyperlink r:id="rId235" ref="I119"/>
    <hyperlink r:id="rId236" ref="C120"/>
    <hyperlink r:id="rId237" ref="I120"/>
    <hyperlink r:id="rId238" ref="I121"/>
    <hyperlink r:id="rId239" ref="C122"/>
    <hyperlink r:id="rId240" ref="I122"/>
    <hyperlink r:id="rId241" ref="C123"/>
    <hyperlink r:id="rId242" ref="I123"/>
    <hyperlink r:id="rId243" ref="C124"/>
    <hyperlink r:id="rId244" ref="I124"/>
    <hyperlink r:id="rId245" ref="C125"/>
    <hyperlink r:id="rId246" ref="I125"/>
    <hyperlink r:id="rId247" ref="C126"/>
    <hyperlink r:id="rId248" ref="I126"/>
    <hyperlink r:id="rId249" ref="C127"/>
    <hyperlink r:id="rId250" ref="I127"/>
    <hyperlink r:id="rId251" ref="C128"/>
    <hyperlink r:id="rId252" ref="I128"/>
    <hyperlink r:id="rId253" ref="C129"/>
    <hyperlink r:id="rId254" ref="I129"/>
    <hyperlink r:id="rId255" ref="C130"/>
    <hyperlink r:id="rId256" ref="I130"/>
    <hyperlink r:id="rId257" ref="C131"/>
    <hyperlink r:id="rId258" ref="I131"/>
    <hyperlink r:id="rId259" ref="C132"/>
    <hyperlink r:id="rId260" ref="I132"/>
    <hyperlink r:id="rId261" ref="C133"/>
    <hyperlink r:id="rId262" ref="I133"/>
    <hyperlink r:id="rId263" ref="C134"/>
    <hyperlink r:id="rId264" ref="I134"/>
    <hyperlink r:id="rId265" ref="C135"/>
    <hyperlink r:id="rId266" ref="I135"/>
    <hyperlink r:id="rId267" ref="C136"/>
    <hyperlink r:id="rId268" ref="I136"/>
    <hyperlink r:id="rId269" ref="C137"/>
    <hyperlink r:id="rId270" ref="I137"/>
    <hyperlink r:id="rId271" ref="C138"/>
    <hyperlink r:id="rId272" ref="I138"/>
    <hyperlink r:id="rId273" ref="C139"/>
    <hyperlink r:id="rId274" ref="I139"/>
    <hyperlink r:id="rId275" ref="C140"/>
    <hyperlink r:id="rId276" ref="I140"/>
    <hyperlink r:id="rId277" ref="C141"/>
    <hyperlink r:id="rId278" ref="I141"/>
    <hyperlink r:id="rId279" ref="C142"/>
    <hyperlink r:id="rId280" ref="I142"/>
    <hyperlink r:id="rId281" ref="C143"/>
    <hyperlink r:id="rId282" ref="I143"/>
    <hyperlink r:id="rId283" ref="C144"/>
    <hyperlink r:id="rId284" ref="I144"/>
    <hyperlink r:id="rId285" ref="C145"/>
    <hyperlink r:id="rId286" ref="I145"/>
    <hyperlink r:id="rId287" ref="C146"/>
    <hyperlink r:id="rId288" ref="I146"/>
    <hyperlink r:id="rId289" ref="C147"/>
    <hyperlink r:id="rId290" ref="I147"/>
    <hyperlink r:id="rId291" ref="C148"/>
    <hyperlink r:id="rId292" ref="I148"/>
    <hyperlink r:id="rId293" ref="C149"/>
    <hyperlink r:id="rId294" ref="I149"/>
    <hyperlink r:id="rId295" ref="C150"/>
    <hyperlink r:id="rId296" ref="I150"/>
    <hyperlink r:id="rId297" ref="C151"/>
    <hyperlink r:id="rId298" ref="I151"/>
    <hyperlink r:id="rId299" ref="C152"/>
    <hyperlink r:id="rId300" ref="I152"/>
    <hyperlink r:id="rId301" ref="C153"/>
    <hyperlink r:id="rId302" ref="I153"/>
  </hyperlinks>
  <drawing r:id="rId303"/>
</worksheet>
</file>